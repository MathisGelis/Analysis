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énéral" sheetId="1" r:id="rId5"/>
    <sheet state="visible" name="Joueurs" sheetId="2" r:id="rId6"/>
    <sheet state="visible" name="Matchs" sheetId="3" r:id="rId7"/>
  </sheets>
  <definedNames/>
  <calcPr/>
</workbook>
</file>

<file path=xl/sharedStrings.xml><?xml version="1.0" encoding="utf-8"?>
<sst xmlns="http://schemas.openxmlformats.org/spreadsheetml/2006/main" count="687" uniqueCount="354">
  <si>
    <t>Classement actuel</t>
  </si>
  <si>
    <t>9ème</t>
  </si>
  <si>
    <t>Nombre de points</t>
  </si>
  <si>
    <t>Buts encaissés / match</t>
  </si>
  <si>
    <t>Buts marqués / match</t>
  </si>
  <si>
    <t>Buts marqués</t>
  </si>
  <si>
    <t>Buts encaissés</t>
  </si>
  <si>
    <t>Buts encaissés / match à domicile</t>
  </si>
  <si>
    <t>Buts marqués / match à domicile</t>
  </si>
  <si>
    <t>Bilan saison</t>
  </si>
  <si>
    <t>9V / 7N / 9D</t>
  </si>
  <si>
    <t>Différence de buts</t>
  </si>
  <si>
    <t>Buts encaissés / match à extérieur</t>
  </si>
  <si>
    <t>Buts marqués / match à extérieur</t>
  </si>
  <si>
    <t>Bilan domicile</t>
  </si>
  <si>
    <t>4V / 3N / 4D</t>
  </si>
  <si>
    <t>Bilan extérieur</t>
  </si>
  <si>
    <t>5V / 4N / 5D</t>
  </si>
  <si>
    <t>Cartons jaunes</t>
  </si>
  <si>
    <t>Cartons rouges</t>
  </si>
  <si>
    <t>Différence domicile</t>
  </si>
  <si>
    <t>Différence extérieur</t>
  </si>
  <si>
    <t>Cartons jaunes / match</t>
  </si>
  <si>
    <t>Cartons rouges / match</t>
  </si>
  <si>
    <t>Commentaires</t>
  </si>
  <si>
    <t>Meilleurs à domicile / Changement de coach à la J16</t>
  </si>
  <si>
    <t>Dispositif attendu</t>
  </si>
  <si>
    <t>4-2-3-1</t>
  </si>
  <si>
    <t>Joueurs suspendus</t>
  </si>
  <si>
    <t>ILUNGA BETU Stan / VINCENT Tom</t>
  </si>
  <si>
    <t>Capitaine / Vice capitaine</t>
  </si>
  <si>
    <t>CHAFFURIN Nicolas</t>
  </si>
  <si>
    <t>Joueur(s) clé(s)</t>
  </si>
  <si>
    <t>Dernier 11</t>
  </si>
  <si>
    <t>NOM</t>
  </si>
  <si>
    <t>Prénom</t>
  </si>
  <si>
    <t>Numéro</t>
  </si>
  <si>
    <t>Sortie / Entrée</t>
  </si>
  <si>
    <t>Carton jaune</t>
  </si>
  <si>
    <t>Carton rouge</t>
  </si>
  <si>
    <t>Autre</t>
  </si>
  <si>
    <t>VINCENT</t>
  </si>
  <si>
    <t>Alex</t>
  </si>
  <si>
    <t>RAPARSON</t>
  </si>
  <si>
    <t>Tsiky</t>
  </si>
  <si>
    <t>ILUNGA B</t>
  </si>
  <si>
    <t>Stan</t>
  </si>
  <si>
    <t>PASTOR</t>
  </si>
  <si>
    <t>Bastien</t>
  </si>
  <si>
    <t>Sortie 27'</t>
  </si>
  <si>
    <t>CHAFFURIN</t>
  </si>
  <si>
    <t>Nicolas</t>
  </si>
  <si>
    <t>Capitaine</t>
  </si>
  <si>
    <t>CANALE</t>
  </si>
  <si>
    <t>Enzo</t>
  </si>
  <si>
    <t>BERNARD</t>
  </si>
  <si>
    <t>Romain</t>
  </si>
  <si>
    <t>Sortie 36'</t>
  </si>
  <si>
    <t>MOINTBERT</t>
  </si>
  <si>
    <t>François</t>
  </si>
  <si>
    <t>BELAID</t>
  </si>
  <si>
    <t>Bilel</t>
  </si>
  <si>
    <t>BOUCHAIR</t>
  </si>
  <si>
    <t>Yacine</t>
  </si>
  <si>
    <t>CERVANTES</t>
  </si>
  <si>
    <t>Esteban</t>
  </si>
  <si>
    <t>KOSTAS</t>
  </si>
  <si>
    <t>Yorgos</t>
  </si>
  <si>
    <t>Entrée 36'</t>
  </si>
  <si>
    <t>NEGOUAI</t>
  </si>
  <si>
    <t>Lenny</t>
  </si>
  <si>
    <t>ZANNA</t>
  </si>
  <si>
    <t>Yoan</t>
  </si>
  <si>
    <t>Entrée 27'</t>
  </si>
  <si>
    <t>Nombre de matchs</t>
  </si>
  <si>
    <t>NUMERO (Nombre de fois porté)</t>
  </si>
  <si>
    <t>Statut mutation</t>
  </si>
  <si>
    <t>1 (12) / R (2)</t>
  </si>
  <si>
    <t>Pas mutation</t>
  </si>
  <si>
    <t>Bon au pied ?</t>
  </si>
  <si>
    <t>2 (16) / 3 (2)</t>
  </si>
  <si>
    <t>TATANGELO</t>
  </si>
  <si>
    <t>Ugo</t>
  </si>
  <si>
    <t>3 (2) / 4 (1) / 7 (3) / 2 (1)</t>
  </si>
  <si>
    <t>SCHRIKE</t>
  </si>
  <si>
    <t>4 (1)</t>
  </si>
  <si>
    <t>5 (18) / R (3) / 4 (1)</t>
  </si>
  <si>
    <t>Mutation</t>
  </si>
  <si>
    <t>Capitaine / Bon joueur</t>
  </si>
  <si>
    <t>SAUNIER</t>
  </si>
  <si>
    <t>Djibril</t>
  </si>
  <si>
    <t>6 (1)</t>
  </si>
  <si>
    <t>7 (8) / R (1) / 9 (1) / 8 (1) / 11 (2)</t>
  </si>
  <si>
    <t>Vice-capitaine</t>
  </si>
  <si>
    <t>GAUTHIER</t>
  </si>
  <si>
    <t>Aurélien</t>
  </si>
  <si>
    <t>8 (4) / 3 (3) / R (2) / 7 (2) / 10 (1)</t>
  </si>
  <si>
    <t>COUET</t>
  </si>
  <si>
    <t>9 (7) / R (4) / 7 (2)</t>
  </si>
  <si>
    <t>NEYMARC</t>
  </si>
  <si>
    <t>Gabin</t>
  </si>
  <si>
    <t>10 (8) / 8 (2) / 9 (2) / 4 (1) / R (1)</t>
  </si>
  <si>
    <t>SEKKAI GHALLAB</t>
  </si>
  <si>
    <t>Imrane</t>
  </si>
  <si>
    <t>11 (1) / R (2) / 3 (1)</t>
  </si>
  <si>
    <t>PAGLIARELLA</t>
  </si>
  <si>
    <t>Maxence</t>
  </si>
  <si>
    <t>R (4) / 6 (9) / 8 (2) / 4 (1) / 7 (1)</t>
  </si>
  <si>
    <t>R (5) / 4 (6) / 6 (1) / 2 (1)</t>
  </si>
  <si>
    <t>ASSANI</t>
  </si>
  <si>
    <t>Samir</t>
  </si>
  <si>
    <t>R (5) / 11 (7) / 3 (1) / 8 (1)</t>
  </si>
  <si>
    <t>MARTIN</t>
  </si>
  <si>
    <t>Florian</t>
  </si>
  <si>
    <t>2 (3) / R (1)</t>
  </si>
  <si>
    <t>Non connu</t>
  </si>
  <si>
    <t>ILUNGA BETU BAKA</t>
  </si>
  <si>
    <t>3 (8) / 4 (9) / 5 (1) / 2 (1) / 11 (1)</t>
  </si>
  <si>
    <t>GALLO</t>
  </si>
  <si>
    <t>Baptiste</t>
  </si>
  <si>
    <t>9 (2) / 7 (2)</t>
  </si>
  <si>
    <t>LEBEAU</t>
  </si>
  <si>
    <t>R (1) / 10 (2)</t>
  </si>
  <si>
    <t>R (5) / 11 (8) / 3 (3) / 5 (1) / 8 (1)</t>
  </si>
  <si>
    <t>OUARDI</t>
  </si>
  <si>
    <t>Sofiane</t>
  </si>
  <si>
    <t>R (6) / 9 (2) / 10 (1)</t>
  </si>
  <si>
    <t>MOUSSI</t>
  </si>
  <si>
    <t>Jessim</t>
  </si>
  <si>
    <t>3 (1)</t>
  </si>
  <si>
    <t>GANDOUZ</t>
  </si>
  <si>
    <t>Abdallah</t>
  </si>
  <si>
    <t>8 (3) / R (2) / 6 (2)</t>
  </si>
  <si>
    <t>MAGOURA</t>
  </si>
  <si>
    <t>Chakib</t>
  </si>
  <si>
    <t>9 (1) / R (1) / 7 (1)</t>
  </si>
  <si>
    <t>R (4) / 9 (3) / 10 (5) / 8 (1)</t>
  </si>
  <si>
    <t>FONTANEL</t>
  </si>
  <si>
    <t>Valentin</t>
  </si>
  <si>
    <t>1 (6)</t>
  </si>
  <si>
    <t>JURY</t>
  </si>
  <si>
    <t>Marc</t>
  </si>
  <si>
    <t>1 (3) / 9 (1)</t>
  </si>
  <si>
    <t>SOULIER</t>
  </si>
  <si>
    <t>Alexis</t>
  </si>
  <si>
    <t>6 (2) / 2 (1) / 4 (3) / 5 (1) / 3 (1)</t>
  </si>
  <si>
    <t>GOURY</t>
  </si>
  <si>
    <t>Mattéo</t>
  </si>
  <si>
    <t>7 (1) / 10 (1) / R (1) / 6 (3)</t>
  </si>
  <si>
    <t>RAFFIN</t>
  </si>
  <si>
    <t>Rémi</t>
  </si>
  <si>
    <t>6 (1) / R (1)</t>
  </si>
  <si>
    <t>DUPORT MILIA</t>
  </si>
  <si>
    <t>Dylan</t>
  </si>
  <si>
    <t>R (2) / 3 (1)</t>
  </si>
  <si>
    <t>VANO</t>
  </si>
  <si>
    <t>Gianni</t>
  </si>
  <si>
    <t>R (1)</t>
  </si>
  <si>
    <t>8 (2) / 11 (3) / 9 (3) / R (4) / 7 (2)</t>
  </si>
  <si>
    <t>NICOLAS</t>
  </si>
  <si>
    <t>Lucas</t>
  </si>
  <si>
    <t>10 (2)</t>
  </si>
  <si>
    <t>Fabio</t>
  </si>
  <si>
    <t>10 (1)</t>
  </si>
  <si>
    <t>SOTO</t>
  </si>
  <si>
    <t>Pierrick</t>
  </si>
  <si>
    <t>2 (1) / 5 (1)</t>
  </si>
  <si>
    <t>9 (2) / 10 (1) / 7 (1)</t>
  </si>
  <si>
    <t>GHALI</t>
  </si>
  <si>
    <t>Samy</t>
  </si>
  <si>
    <t>R (1) / 8 (1)</t>
  </si>
  <si>
    <t>DURO</t>
  </si>
  <si>
    <t>6 (2)</t>
  </si>
  <si>
    <t>BAREILLE</t>
  </si>
  <si>
    <t>5 (1)</t>
  </si>
  <si>
    <t>CHAHARANE</t>
  </si>
  <si>
    <t>Archimed</t>
  </si>
  <si>
    <t>R (1) / 3 (1) / 1 (2)</t>
  </si>
  <si>
    <t>Hors délais</t>
  </si>
  <si>
    <t>MONTIBERT</t>
  </si>
  <si>
    <t>2 (1) / 8 (4) / 11 (2) / 3 (1)</t>
  </si>
  <si>
    <t>TRANCY</t>
  </si>
  <si>
    <t>Lionel</t>
  </si>
  <si>
    <t>1 (2)</t>
  </si>
  <si>
    <t>JAILLET</t>
  </si>
  <si>
    <t>Mael</t>
  </si>
  <si>
    <t>Younes</t>
  </si>
  <si>
    <t>7 (1)</t>
  </si>
  <si>
    <t>D</t>
  </si>
  <si>
    <t>Raphael</t>
  </si>
  <si>
    <t>R (2)</t>
  </si>
  <si>
    <t>B</t>
  </si>
  <si>
    <t>Kylian</t>
  </si>
  <si>
    <t>ZOBIRI</t>
  </si>
  <si>
    <t>Fael</t>
  </si>
  <si>
    <t>DUGAND</t>
  </si>
  <si>
    <t>Kéo</t>
  </si>
  <si>
    <t>DEFAY</t>
  </si>
  <si>
    <t>Milo</t>
  </si>
  <si>
    <t>SALOT</t>
  </si>
  <si>
    <t>Titouan</t>
  </si>
  <si>
    <t>8 (1)</t>
  </si>
  <si>
    <t>U18</t>
  </si>
  <si>
    <t>R (4) / 11 (1) / 9 (1)</t>
  </si>
  <si>
    <t>FERRAND</t>
  </si>
  <si>
    <t>Tom</t>
  </si>
  <si>
    <t>C</t>
  </si>
  <si>
    <t>Mathis</t>
  </si>
  <si>
    <t>6 (4)</t>
  </si>
  <si>
    <t>THERON</t>
  </si>
  <si>
    <t>SR3</t>
  </si>
  <si>
    <t>1 (16)</t>
  </si>
  <si>
    <t>ABBALLE</t>
  </si>
  <si>
    <t>2 (10) / R (2) / 9 (12) / 11 (1)</t>
  </si>
  <si>
    <t>3 (13) / R (2) / 5 (2) / 4 (2)</t>
  </si>
  <si>
    <t>4 (17) / R (3) / 5 (1) / 9 (2)</t>
  </si>
  <si>
    <t>5 (10) / R (5) / 11 (1) / 3 (1) / 8 (2)</t>
  </si>
  <si>
    <t>LATTARD</t>
  </si>
  <si>
    <t>6 (25) / 3 (1)</t>
  </si>
  <si>
    <t>CHELGOUM</t>
  </si>
  <si>
    <t>Yanis</t>
  </si>
  <si>
    <t>7 (1) / 11 (1)</t>
  </si>
  <si>
    <t>8 (1) / R (2)</t>
  </si>
  <si>
    <t>FIORINI</t>
  </si>
  <si>
    <t>Thibault</t>
  </si>
  <si>
    <t xml:space="preserve"> 9 (6) / R (2) / 10 (11)</t>
  </si>
  <si>
    <t>TABTI</t>
  </si>
  <si>
    <t>Aymen</t>
  </si>
  <si>
    <t>10 (9) / 9 (1) / R (1) / 7 (9) / 8 (6)</t>
  </si>
  <si>
    <t>11 (1) / 8 (1)</t>
  </si>
  <si>
    <t>1 (10) / R (1)</t>
  </si>
  <si>
    <t>R (5) / 4 (6) / 5 (10) / 3 (1)</t>
  </si>
  <si>
    <t>NOUA</t>
  </si>
  <si>
    <t>Lahcen</t>
  </si>
  <si>
    <t>R (4) / 6 (2) / 8 (5) / 3 (1) / 4 (2)</t>
  </si>
  <si>
    <t>R (11) / 9 (3) / 11 (6) / 10 (1)</t>
  </si>
  <si>
    <t>7 (10) / R (2)</t>
  </si>
  <si>
    <t>M</t>
  </si>
  <si>
    <t>Quentin</t>
  </si>
  <si>
    <t>3 (5) / R (2) / 5 (1) / 7 (2) / 11 (4)</t>
  </si>
  <si>
    <t>11 (7) / R (2) / 7 (1) / 3 (1)</t>
  </si>
  <si>
    <t>8 (1) / R (2) / 9 (1)</t>
  </si>
  <si>
    <t>R (5) / 8 (2) / 2 (17)</t>
  </si>
  <si>
    <t>R (5) / 10 (3) / 8 (3) / 11 (2) / 9 (1)</t>
  </si>
  <si>
    <t>8 (4)</t>
  </si>
  <si>
    <t>1 (1)</t>
  </si>
  <si>
    <t>R (3) / 7 (1) / 11 (4) / 3 (1)</t>
  </si>
  <si>
    <t>VENDITTI</t>
  </si>
  <si>
    <t>Luca</t>
  </si>
  <si>
    <t>R (4)</t>
  </si>
  <si>
    <t>KNEZEVIC</t>
  </si>
  <si>
    <t>Andrea</t>
  </si>
  <si>
    <t>R (1) / 3 (1)</t>
  </si>
  <si>
    <t>R (8) / 3 (1) / 8 (1)</t>
  </si>
  <si>
    <t>Keo</t>
  </si>
  <si>
    <t>R (2) / 3 (1) / 10 (3) / 8 (1)</t>
  </si>
  <si>
    <t>HERRERA</t>
  </si>
  <si>
    <t>Ethan</t>
  </si>
  <si>
    <t>U20</t>
  </si>
  <si>
    <t>FREYDIERE</t>
  </si>
  <si>
    <t>Jeremy</t>
  </si>
  <si>
    <t>1 (19)</t>
  </si>
  <si>
    <t>2 (7) / 4 (3) / 11 (2) / 3 (1)</t>
  </si>
  <si>
    <t>DOXIVILLE</t>
  </si>
  <si>
    <t>Warrick</t>
  </si>
  <si>
    <t>3 (17) / 5 (1) / 4 (1)</t>
  </si>
  <si>
    <t>4 (3) / 5 (14)</t>
  </si>
  <si>
    <t>5 (2)</t>
  </si>
  <si>
    <t>6 (8)</t>
  </si>
  <si>
    <t>7 (3) / 8 (4) / R (2) / 6 (5)</t>
  </si>
  <si>
    <t>9 (13) / 7 (4)</t>
  </si>
  <si>
    <t>10 (7) / 8 (1)</t>
  </si>
  <si>
    <t>MESSAOUDI</t>
  </si>
  <si>
    <t>Nolan</t>
  </si>
  <si>
    <t>11 (9) / R (3) / 3 (1)</t>
  </si>
  <si>
    <t>CHAPUT</t>
  </si>
  <si>
    <t>Mathys</t>
  </si>
  <si>
    <t>R (3) / 10 (1) / 8 (1) / 7 (2) / 11 (5)</t>
  </si>
  <si>
    <t>R (1) / 7 (5) / 2 (1) / 9 (1)</t>
  </si>
  <si>
    <t>R (2) / 2 (3) / 1 (1)</t>
  </si>
  <si>
    <t>LA BARBERA</t>
  </si>
  <si>
    <t>R (6) / 10 (1) / 8 (3) / 9 (1) / 7 (3)</t>
  </si>
  <si>
    <t>HUGON JEANNIN</t>
  </si>
  <si>
    <t>R (2) / 4 (7) / 8 (3) / 6 (1) / 10 (1)</t>
  </si>
  <si>
    <t>R (3) / 9 (3)</t>
  </si>
  <si>
    <t>ALI SAID</t>
  </si>
  <si>
    <t>Ismael</t>
  </si>
  <si>
    <t>11 (1) / R (3) / 2 (5) / 7 (2)</t>
  </si>
  <si>
    <t>R (4) / 9 (1)</t>
  </si>
  <si>
    <t>R (7)</t>
  </si>
  <si>
    <t>Zakaria</t>
  </si>
  <si>
    <t>R (5) / 10 (7) / 6 (1) / 8 (1)</t>
  </si>
  <si>
    <t>5 (1) / R (1) / 6 (4) / 4 (3) / 8 (4)</t>
  </si>
  <si>
    <t>JUGIAN</t>
  </si>
  <si>
    <t>Ryan</t>
  </si>
  <si>
    <t>Arda</t>
  </si>
  <si>
    <t>2 (1)</t>
  </si>
  <si>
    <t>LUQUET</t>
  </si>
  <si>
    <t>Clément</t>
  </si>
  <si>
    <t>R (6) / 2 (1)</t>
  </si>
  <si>
    <t>2 (1) / 11 (1)</t>
  </si>
  <si>
    <t>H</t>
  </si>
  <si>
    <t>10 (1) / R (2)</t>
  </si>
  <si>
    <t>J</t>
  </si>
  <si>
    <t>Nathan</t>
  </si>
  <si>
    <t>R (1) / 10 (1) / 11 (1)</t>
  </si>
  <si>
    <t>BERKANE</t>
  </si>
  <si>
    <t>Abdelkader</t>
  </si>
  <si>
    <t>U17</t>
  </si>
  <si>
    <t>Journée</t>
  </si>
  <si>
    <t>Domicile / Extérieur</t>
  </si>
  <si>
    <t>Adversaire</t>
  </si>
  <si>
    <t>J1</t>
  </si>
  <si>
    <t>Domicile</t>
  </si>
  <si>
    <t>OLS</t>
  </si>
  <si>
    <t>J2</t>
  </si>
  <si>
    <t>Extérieur</t>
  </si>
  <si>
    <t>SCOL</t>
  </si>
  <si>
    <t>J3</t>
  </si>
  <si>
    <t>Mions</t>
  </si>
  <si>
    <t>J4</t>
  </si>
  <si>
    <t>Vénissieux</t>
  </si>
  <si>
    <t>J5</t>
  </si>
  <si>
    <t>Francheville</t>
  </si>
  <si>
    <t>J6</t>
  </si>
  <si>
    <t>Neuville</t>
  </si>
  <si>
    <t>Coupe GVR - 1e</t>
  </si>
  <si>
    <t>Pt Cheruy 2 (D2)</t>
  </si>
  <si>
    <t>J7</t>
  </si>
  <si>
    <t>Pouilly Pommier</t>
  </si>
  <si>
    <t>J8</t>
  </si>
  <si>
    <t>Portugais Vaulx</t>
  </si>
  <si>
    <t>J9</t>
  </si>
  <si>
    <t>CS Ozon</t>
  </si>
  <si>
    <t>J10</t>
  </si>
  <si>
    <t>Genas</t>
  </si>
  <si>
    <t>J11</t>
  </si>
  <si>
    <t>Meys Grézieu</t>
  </si>
  <si>
    <t>J12</t>
  </si>
  <si>
    <t>J13</t>
  </si>
  <si>
    <t>J14</t>
  </si>
  <si>
    <t>J15</t>
  </si>
  <si>
    <t>Coupe GVR - C</t>
  </si>
  <si>
    <t>USEL 2 (D4)</t>
  </si>
  <si>
    <t>J16</t>
  </si>
  <si>
    <t>J17</t>
  </si>
  <si>
    <t>J18</t>
  </si>
  <si>
    <t>J19</t>
  </si>
  <si>
    <t>Coupe GVR - 8è</t>
  </si>
  <si>
    <t>CS Vaulxois (D3)</t>
  </si>
  <si>
    <t>Coupe GVR - 1/4</t>
  </si>
  <si>
    <t>Diemoz (D2)</t>
  </si>
  <si>
    <t>J20</t>
  </si>
  <si>
    <t>J21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</si>
</sst>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  <xf borderId="0" fillId="0" fontId="3" numFmtId="0" xfId="0" applyAlignment="1" applyFont="1">
      <alignment horizontal="center" vertical="bottom"/>
    </xf>
    <xf borderId="0" fillId="0" fontId="4" numFmtId="2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5" numFmtId="0" xfId="0" applyBorder="1" applyFont="1"/>
    <xf borderId="0" fillId="2" fontId="1" numFmtId="0" xfId="0" applyAlignment="1" applyFill="1" applyFont="1">
      <alignment horizontal="center" readingOrder="0"/>
    </xf>
  </cellXfs>
  <cellStyles count="1">
    <cellStyle xfId="0" name="Normal" builtinId="0"/>
  </cellStyles>
  <dxfs count="4"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097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C1" s="2" t="s">
        <v>0</v>
      </c>
      <c r="E1" s="3" t="s">
        <v>1</v>
      </c>
      <c r="F1" s="4"/>
      <c r="G1" s="2" t="s">
        <v>2</v>
      </c>
      <c r="I1" s="3">
        <v>26.0</v>
      </c>
      <c r="K1" s="2" t="s">
        <v>3</v>
      </c>
      <c r="M1" s="5">
        <f>AVERAGE(Matchs!E:E)
</f>
        <v>1.6</v>
      </c>
      <c r="N1" s="4"/>
      <c r="O1" s="2" t="s">
        <v>4</v>
      </c>
      <c r="Q1" s="5">
        <f>AVERAGE(Matchs!D:D)
</f>
        <v>1.48</v>
      </c>
    </row>
    <row r="2">
      <c r="C2" s="2" t="s">
        <v>5</v>
      </c>
      <c r="E2" s="4">
        <f>SUM(Matchs!D:D)
</f>
        <v>37</v>
      </c>
      <c r="F2" s="4"/>
      <c r="G2" s="2" t="s">
        <v>6</v>
      </c>
      <c r="I2" s="4">
        <f>SUM(Matchs!E:E)
</f>
        <v>40</v>
      </c>
      <c r="K2" s="2" t="s">
        <v>7</v>
      </c>
      <c r="M2" s="5">
        <f>AVERAGEIF(Matchs!B:B,"Domicile",Matchs!E:E)
</f>
        <v>1.181818182</v>
      </c>
      <c r="N2" s="4"/>
      <c r="O2" s="2" t="s">
        <v>8</v>
      </c>
      <c r="Q2" s="5">
        <f>AVERAGEIF(Matchs!B:B,"Domicile",Matchs!D:D)
</f>
        <v>1.363636364</v>
      </c>
    </row>
    <row r="3">
      <c r="C3" s="2" t="s">
        <v>9</v>
      </c>
      <c r="E3" s="3" t="s">
        <v>10</v>
      </c>
      <c r="F3" s="4"/>
      <c r="G3" s="2" t="s">
        <v>11</v>
      </c>
      <c r="I3" s="4">
        <f>SUM(Matchs!D:D) - SUM(Matchs!E:E)
</f>
        <v>-3</v>
      </c>
      <c r="K3" s="6" t="s">
        <v>12</v>
      </c>
      <c r="M3" s="7">
        <f>AVERAGEIF(Matchs!B:B,"Extérieur",Matchs!E:E)
</f>
        <v>1.928571429</v>
      </c>
      <c r="N3" s="8"/>
      <c r="O3" s="6" t="s">
        <v>13</v>
      </c>
      <c r="Q3" s="7">
        <f>AVERAGEIF(Matchs!B:B,"Extérieur",Matchs!D:D)
</f>
        <v>1.571428571</v>
      </c>
    </row>
    <row r="4">
      <c r="C4" s="2" t="s">
        <v>14</v>
      </c>
      <c r="E4" s="3" t="s">
        <v>15</v>
      </c>
      <c r="F4" s="4"/>
      <c r="G4" s="2" t="s">
        <v>16</v>
      </c>
      <c r="I4" s="3" t="s">
        <v>17</v>
      </c>
      <c r="K4" s="6" t="s">
        <v>18</v>
      </c>
      <c r="M4" s="9">
        <f>SUM(Matchs!F:F)
</f>
        <v>43</v>
      </c>
      <c r="N4" s="8"/>
      <c r="O4" s="6" t="s">
        <v>19</v>
      </c>
      <c r="Q4" s="9">
        <f>SUM(Matchs!G:G)
</f>
        <v>3</v>
      </c>
    </row>
    <row r="5">
      <c r="C5" s="2" t="s">
        <v>20</v>
      </c>
      <c r="E5" s="4">
        <f>SUMIF(Matchs!B:B,"Domicile",Matchs!D:D)-SUMIF(Matchs!B:B,"Domicile",Matchs!E:E)
</f>
        <v>2</v>
      </c>
      <c r="F5" s="4"/>
      <c r="G5" s="2" t="s">
        <v>21</v>
      </c>
      <c r="I5" s="4">
        <f>SUMIF(Matchs!B:B,"Extérieur",Matchs!D:D)-SUMIF(Matchs!B:B,"Extérieur",Matchs!E:E)
</f>
        <v>-5</v>
      </c>
      <c r="K5" s="10" t="s">
        <v>22</v>
      </c>
      <c r="M5" s="7">
        <f>AVERAGE(Matchs!F:F)
</f>
        <v>1.72</v>
      </c>
      <c r="N5" s="8"/>
      <c r="O5" s="10" t="s">
        <v>23</v>
      </c>
      <c r="Q5" s="7">
        <f>AVERAGE(Matchs!G:G)
</f>
        <v>0.12</v>
      </c>
    </row>
    <row r="6">
      <c r="A6" s="11" t="s">
        <v>24</v>
      </c>
      <c r="C6" s="12" t="s">
        <v>25</v>
      </c>
    </row>
    <row r="9">
      <c r="A9" s="2" t="s">
        <v>26</v>
      </c>
      <c r="C9" s="13" t="s">
        <v>27</v>
      </c>
    </row>
    <row r="10">
      <c r="A10" s="2" t="s">
        <v>28</v>
      </c>
      <c r="C10" s="13" t="s">
        <v>29</v>
      </c>
    </row>
    <row r="11">
      <c r="A11" s="2" t="s">
        <v>30</v>
      </c>
      <c r="C11" s="13" t="s">
        <v>31</v>
      </c>
    </row>
    <row r="12">
      <c r="A12" s="2" t="s">
        <v>32</v>
      </c>
    </row>
    <row r="13">
      <c r="A13" s="11" t="s">
        <v>33</v>
      </c>
      <c r="C13" s="2" t="s">
        <v>34</v>
      </c>
      <c r="D13" s="2" t="s">
        <v>35</v>
      </c>
      <c r="E13" s="2" t="s">
        <v>36</v>
      </c>
      <c r="F13" s="2" t="s">
        <v>37</v>
      </c>
      <c r="G13" s="2" t="s">
        <v>38</v>
      </c>
      <c r="H13" s="2" t="s">
        <v>39</v>
      </c>
      <c r="I13" s="2" t="s">
        <v>40</v>
      </c>
    </row>
    <row r="14">
      <c r="C14" s="3" t="s">
        <v>41</v>
      </c>
      <c r="D14" s="3" t="s">
        <v>42</v>
      </c>
      <c r="E14" s="3">
        <v>1.0</v>
      </c>
      <c r="F14" s="4"/>
      <c r="G14" s="4"/>
      <c r="H14" s="4"/>
      <c r="I14" s="4"/>
    </row>
    <row r="15">
      <c r="C15" s="3" t="s">
        <v>43</v>
      </c>
      <c r="D15" s="3" t="s">
        <v>44</v>
      </c>
      <c r="E15" s="3">
        <v>2.0</v>
      </c>
      <c r="F15" s="4"/>
      <c r="G15" s="4"/>
      <c r="H15" s="4"/>
      <c r="I15" s="4"/>
    </row>
    <row r="16">
      <c r="C16" s="3" t="s">
        <v>45</v>
      </c>
      <c r="D16" s="3" t="s">
        <v>46</v>
      </c>
      <c r="E16" s="3">
        <v>3.0</v>
      </c>
      <c r="F16" s="4"/>
      <c r="G16" s="4"/>
      <c r="H16" s="4"/>
      <c r="I16" s="4"/>
    </row>
    <row r="17">
      <c r="C17" s="3" t="s">
        <v>47</v>
      </c>
      <c r="D17" s="3" t="s">
        <v>48</v>
      </c>
      <c r="E17" s="3">
        <v>4.0</v>
      </c>
      <c r="F17" s="3" t="s">
        <v>49</v>
      </c>
      <c r="G17" s="4"/>
      <c r="H17" s="4"/>
      <c r="I17" s="4"/>
    </row>
    <row r="18">
      <c r="C18" s="3" t="s">
        <v>50</v>
      </c>
      <c r="D18" s="3" t="s">
        <v>51</v>
      </c>
      <c r="E18" s="3">
        <v>5.0</v>
      </c>
      <c r="F18" s="4"/>
      <c r="G18" s="4"/>
      <c r="H18" s="4"/>
      <c r="I18" s="3" t="s">
        <v>52</v>
      </c>
    </row>
    <row r="19">
      <c r="C19" s="3" t="s">
        <v>53</v>
      </c>
      <c r="D19" s="3" t="s">
        <v>54</v>
      </c>
      <c r="E19" s="3">
        <v>6.0</v>
      </c>
      <c r="F19" s="4"/>
      <c r="G19" s="4"/>
      <c r="H19" s="4"/>
      <c r="I19" s="4"/>
    </row>
    <row r="20">
      <c r="C20" s="3" t="s">
        <v>55</v>
      </c>
      <c r="D20" s="3" t="s">
        <v>56</v>
      </c>
      <c r="E20" s="3">
        <v>7.0</v>
      </c>
      <c r="F20" s="3" t="s">
        <v>57</v>
      </c>
      <c r="G20" s="4"/>
      <c r="H20" s="4"/>
      <c r="I20" s="4"/>
    </row>
    <row r="21">
      <c r="C21" s="3" t="s">
        <v>58</v>
      </c>
      <c r="D21" s="3" t="s">
        <v>59</v>
      </c>
      <c r="E21" s="3">
        <v>8.0</v>
      </c>
      <c r="F21" s="4"/>
      <c r="G21" s="4"/>
      <c r="H21" s="4"/>
      <c r="I21" s="4"/>
    </row>
    <row r="22">
      <c r="C22" s="3" t="s">
        <v>60</v>
      </c>
      <c r="D22" s="3" t="s">
        <v>61</v>
      </c>
      <c r="E22" s="3">
        <v>9.0</v>
      </c>
      <c r="F22" s="4"/>
      <c r="G22" s="4"/>
      <c r="H22" s="4"/>
      <c r="I22" s="4"/>
    </row>
    <row r="23">
      <c r="C23" s="3" t="s">
        <v>62</v>
      </c>
      <c r="D23" s="3" t="s">
        <v>63</v>
      </c>
      <c r="E23" s="3">
        <v>10.0</v>
      </c>
      <c r="F23" s="4"/>
      <c r="G23" s="4"/>
      <c r="H23" s="4"/>
      <c r="I23" s="4"/>
    </row>
    <row r="24">
      <c r="C24" s="3" t="s">
        <v>64</v>
      </c>
      <c r="D24" s="3" t="s">
        <v>65</v>
      </c>
      <c r="E24" s="3">
        <v>11.0</v>
      </c>
      <c r="F24" s="3" t="s">
        <v>57</v>
      </c>
      <c r="G24" s="4"/>
      <c r="H24" s="4"/>
      <c r="I24" s="4"/>
    </row>
    <row r="25">
      <c r="C25" s="4"/>
      <c r="D25" s="4"/>
      <c r="E25" s="4"/>
      <c r="F25" s="4"/>
      <c r="G25" s="4"/>
      <c r="H25" s="4"/>
      <c r="I25" s="4"/>
    </row>
    <row r="26">
      <c r="C26" s="3" t="s">
        <v>66</v>
      </c>
      <c r="D26" s="3" t="s">
        <v>67</v>
      </c>
      <c r="E26" s="3">
        <v>12.0</v>
      </c>
      <c r="F26" s="3" t="s">
        <v>68</v>
      </c>
      <c r="G26" s="4"/>
      <c r="H26" s="4"/>
      <c r="I26" s="4"/>
    </row>
    <row r="27">
      <c r="C27" s="3" t="s">
        <v>69</v>
      </c>
      <c r="D27" s="3" t="s">
        <v>70</v>
      </c>
      <c r="E27" s="3">
        <v>13.0</v>
      </c>
      <c r="F27" s="3" t="s">
        <v>68</v>
      </c>
      <c r="G27" s="4"/>
      <c r="H27" s="4"/>
      <c r="I27" s="4"/>
    </row>
    <row r="28">
      <c r="C28" s="3" t="s">
        <v>71</v>
      </c>
      <c r="D28" s="3" t="s">
        <v>72</v>
      </c>
      <c r="E28" s="3">
        <v>14.0</v>
      </c>
      <c r="F28" s="3" t="s">
        <v>73</v>
      </c>
      <c r="G28" s="4"/>
      <c r="H28" s="4"/>
      <c r="I28" s="4"/>
    </row>
  </sheetData>
  <mergeCells count="32">
    <mergeCell ref="O1:P1"/>
    <mergeCell ref="O2:P2"/>
    <mergeCell ref="O3:P3"/>
    <mergeCell ref="O4:P4"/>
    <mergeCell ref="O5:P5"/>
    <mergeCell ref="G2:H2"/>
    <mergeCell ref="G3:H3"/>
    <mergeCell ref="C3:D3"/>
    <mergeCell ref="C4:D4"/>
    <mergeCell ref="A6:B8"/>
    <mergeCell ref="A9:B9"/>
    <mergeCell ref="A10:B10"/>
    <mergeCell ref="A11:B11"/>
    <mergeCell ref="A12:B12"/>
    <mergeCell ref="A13:B28"/>
    <mergeCell ref="K3:L3"/>
    <mergeCell ref="K4:L4"/>
    <mergeCell ref="G4:H4"/>
    <mergeCell ref="G5:H5"/>
    <mergeCell ref="C6:Q8"/>
    <mergeCell ref="C9:Q9"/>
    <mergeCell ref="C10:Q10"/>
    <mergeCell ref="C11:Q11"/>
    <mergeCell ref="C12:Q12"/>
    <mergeCell ref="A1:B5"/>
    <mergeCell ref="C1:D1"/>
    <mergeCell ref="G1:H1"/>
    <mergeCell ref="K1:L1"/>
    <mergeCell ref="C2:D2"/>
    <mergeCell ref="K2:L2"/>
    <mergeCell ref="C5:D5"/>
    <mergeCell ref="K5:L5"/>
  </mergeCells>
  <conditionalFormatting sqref="C10:Q10">
    <cfRule type="notContainsBlanks" dxfId="0" priority="1">
      <formula>LEN(TRIM(C10))&gt;0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5.75"/>
    <col customWidth="1" min="3" max="3" width="15.63"/>
    <col customWidth="1" min="4" max="4" width="25.25"/>
    <col customWidth="1" min="7" max="7" width="25.13"/>
  </cols>
  <sheetData>
    <row r="1">
      <c r="A1" s="14" t="s">
        <v>34</v>
      </c>
      <c r="B1" s="14" t="s">
        <v>35</v>
      </c>
      <c r="C1" s="14" t="s">
        <v>74</v>
      </c>
      <c r="D1" s="14" t="s">
        <v>75</v>
      </c>
      <c r="E1" s="14" t="s">
        <v>18</v>
      </c>
      <c r="F1" s="14" t="s">
        <v>19</v>
      </c>
      <c r="G1" s="14" t="s">
        <v>76</v>
      </c>
      <c r="H1" s="14" t="s">
        <v>24</v>
      </c>
      <c r="I1" s="15"/>
      <c r="J1" s="15"/>
      <c r="K1" s="15"/>
      <c r="L1" s="1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" t="s">
        <v>41</v>
      </c>
      <c r="B2" s="3" t="s">
        <v>42</v>
      </c>
      <c r="C2" s="3">
        <v>14.0</v>
      </c>
      <c r="D2" s="3" t="s">
        <v>77</v>
      </c>
      <c r="E2" s="4"/>
      <c r="F2" s="3">
        <v>1.0</v>
      </c>
      <c r="G2" s="3" t="s">
        <v>78</v>
      </c>
      <c r="H2" s="3" t="s">
        <v>79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 t="s">
        <v>43</v>
      </c>
      <c r="B3" s="3" t="s">
        <v>44</v>
      </c>
      <c r="C3" s="3">
        <v>18.0</v>
      </c>
      <c r="D3" s="3" t="s">
        <v>80</v>
      </c>
      <c r="E3" s="3">
        <v>1.0</v>
      </c>
      <c r="F3" s="4"/>
      <c r="G3" s="3" t="s">
        <v>78</v>
      </c>
      <c r="H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 t="s">
        <v>81</v>
      </c>
      <c r="B4" s="3" t="s">
        <v>82</v>
      </c>
      <c r="C4" s="3">
        <v>7.0</v>
      </c>
      <c r="D4" s="3" t="s">
        <v>83</v>
      </c>
      <c r="E4" s="3">
        <v>1.0</v>
      </c>
      <c r="F4" s="4"/>
      <c r="G4" s="3" t="s">
        <v>78</v>
      </c>
      <c r="H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 t="s">
        <v>84</v>
      </c>
      <c r="B5" s="3" t="s">
        <v>56</v>
      </c>
      <c r="C5" s="3">
        <v>1.0</v>
      </c>
      <c r="D5" s="3" t="s">
        <v>85</v>
      </c>
      <c r="E5" s="4"/>
      <c r="F5" s="4"/>
      <c r="G5" s="3" t="s">
        <v>78</v>
      </c>
      <c r="H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 t="s">
        <v>50</v>
      </c>
      <c r="B6" s="3" t="s">
        <v>51</v>
      </c>
      <c r="C6" s="3">
        <v>22.0</v>
      </c>
      <c r="D6" s="3" t="s">
        <v>86</v>
      </c>
      <c r="E6" s="3">
        <v>3.0</v>
      </c>
      <c r="F6" s="4"/>
      <c r="G6" s="3" t="s">
        <v>87</v>
      </c>
      <c r="H6" s="3" t="s">
        <v>88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 t="s">
        <v>89</v>
      </c>
      <c r="B7" s="3" t="s">
        <v>90</v>
      </c>
      <c r="C7" s="3">
        <v>1.0</v>
      </c>
      <c r="D7" s="3" t="s">
        <v>91</v>
      </c>
      <c r="E7" s="4"/>
      <c r="F7" s="4"/>
      <c r="G7" s="3" t="s">
        <v>87</v>
      </c>
      <c r="H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" t="s">
        <v>55</v>
      </c>
      <c r="B8" s="3" t="s">
        <v>56</v>
      </c>
      <c r="C8" s="3">
        <v>14.0</v>
      </c>
      <c r="D8" s="3" t="s">
        <v>92</v>
      </c>
      <c r="E8" s="3">
        <v>1.0</v>
      </c>
      <c r="F8" s="4"/>
      <c r="G8" s="3" t="s">
        <v>78</v>
      </c>
      <c r="H8" s="3" t="s">
        <v>93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" t="s">
        <v>94</v>
      </c>
      <c r="B9" s="3" t="s">
        <v>95</v>
      </c>
      <c r="C9" s="3">
        <v>12.0</v>
      </c>
      <c r="D9" s="3" t="s">
        <v>96</v>
      </c>
      <c r="E9" s="3">
        <v>3.0</v>
      </c>
      <c r="F9" s="4"/>
      <c r="G9" s="3" t="s">
        <v>78</v>
      </c>
      <c r="H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" t="s">
        <v>97</v>
      </c>
      <c r="B10" s="3" t="s">
        <v>70</v>
      </c>
      <c r="C10" s="3">
        <v>13.0</v>
      </c>
      <c r="D10" s="3" t="s">
        <v>98</v>
      </c>
      <c r="E10" s="3">
        <v>1.0</v>
      </c>
      <c r="F10" s="4"/>
      <c r="G10" s="3" t="s">
        <v>78</v>
      </c>
      <c r="H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3" t="s">
        <v>99</v>
      </c>
      <c r="B11" s="3" t="s">
        <v>100</v>
      </c>
      <c r="C11" s="3">
        <v>14.0</v>
      </c>
      <c r="D11" s="3" t="s">
        <v>101</v>
      </c>
      <c r="E11" s="3">
        <v>1.0</v>
      </c>
      <c r="F11" s="4"/>
      <c r="G11" s="3" t="s">
        <v>78</v>
      </c>
      <c r="H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3" t="s">
        <v>102</v>
      </c>
      <c r="B12" s="3" t="s">
        <v>103</v>
      </c>
      <c r="C12" s="3">
        <v>4.0</v>
      </c>
      <c r="D12" s="3" t="s">
        <v>104</v>
      </c>
      <c r="E12" s="4"/>
      <c r="F12" s="4"/>
      <c r="G12" s="3" t="s">
        <v>87</v>
      </c>
      <c r="H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3" t="s">
        <v>105</v>
      </c>
      <c r="B13" s="3" t="s">
        <v>106</v>
      </c>
      <c r="C13" s="3">
        <v>17.0</v>
      </c>
      <c r="D13" s="3" t="s">
        <v>107</v>
      </c>
      <c r="E13" s="3">
        <v>1.0</v>
      </c>
      <c r="F13" s="4"/>
      <c r="G13" s="3" t="s">
        <v>78</v>
      </c>
      <c r="H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3" t="s">
        <v>47</v>
      </c>
      <c r="B14" s="3" t="s">
        <v>48</v>
      </c>
      <c r="C14" s="3">
        <v>13.0</v>
      </c>
      <c r="D14" s="3" t="s">
        <v>108</v>
      </c>
      <c r="E14" s="3">
        <v>1.0</v>
      </c>
      <c r="F14" s="4"/>
      <c r="G14" s="3" t="s">
        <v>78</v>
      </c>
      <c r="H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3" t="s">
        <v>109</v>
      </c>
      <c r="B15" s="3" t="s">
        <v>110</v>
      </c>
      <c r="C15" s="3">
        <v>14.0</v>
      </c>
      <c r="D15" s="3" t="s">
        <v>111</v>
      </c>
      <c r="E15" s="3">
        <v>1.0</v>
      </c>
      <c r="F15" s="4"/>
      <c r="G15" s="3" t="s">
        <v>78</v>
      </c>
      <c r="H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3" t="s">
        <v>112</v>
      </c>
      <c r="B16" s="3" t="s">
        <v>113</v>
      </c>
      <c r="C16" s="3">
        <v>4.0</v>
      </c>
      <c r="D16" s="3" t="s">
        <v>114</v>
      </c>
      <c r="E16" s="3">
        <v>1.0</v>
      </c>
      <c r="F16" s="4"/>
      <c r="G16" s="3" t="s">
        <v>115</v>
      </c>
      <c r="H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3" t="s">
        <v>116</v>
      </c>
      <c r="B17" s="3" t="s">
        <v>46</v>
      </c>
      <c r="C17" s="3">
        <v>22.0</v>
      </c>
      <c r="D17" s="3" t="s">
        <v>117</v>
      </c>
      <c r="E17" s="3">
        <v>5.0</v>
      </c>
      <c r="F17" s="3">
        <v>1.0</v>
      </c>
      <c r="G17" s="3" t="s">
        <v>78</v>
      </c>
      <c r="H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3" t="s">
        <v>118</v>
      </c>
      <c r="B18" s="3" t="s">
        <v>119</v>
      </c>
      <c r="C18" s="3">
        <v>4.0</v>
      </c>
      <c r="D18" s="3" t="s">
        <v>120</v>
      </c>
      <c r="E18" s="4"/>
      <c r="F18" s="4"/>
      <c r="G18" s="3" t="s">
        <v>78</v>
      </c>
      <c r="H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3" t="s">
        <v>121</v>
      </c>
      <c r="B19" s="3" t="s">
        <v>100</v>
      </c>
      <c r="C19" s="3">
        <v>3.0</v>
      </c>
      <c r="D19" s="3" t="s">
        <v>122</v>
      </c>
      <c r="E19" s="3">
        <v>1.0</v>
      </c>
      <c r="F19" s="4"/>
      <c r="G19" s="3" t="s">
        <v>78</v>
      </c>
      <c r="H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3" t="s">
        <v>64</v>
      </c>
      <c r="B20" s="3" t="s">
        <v>65</v>
      </c>
      <c r="C20" s="3">
        <v>18.0</v>
      </c>
      <c r="D20" s="3" t="s">
        <v>123</v>
      </c>
      <c r="E20" s="4"/>
      <c r="F20" s="4"/>
      <c r="G20" s="3" t="s">
        <v>115</v>
      </c>
      <c r="H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3" t="s">
        <v>124</v>
      </c>
      <c r="B21" s="3" t="s">
        <v>125</v>
      </c>
      <c r="C21" s="3">
        <v>9.0</v>
      </c>
      <c r="D21" s="3" t="s">
        <v>126</v>
      </c>
      <c r="E21" s="3">
        <v>1.0</v>
      </c>
      <c r="F21" s="4"/>
      <c r="G21" s="3" t="s">
        <v>78</v>
      </c>
      <c r="H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3" t="s">
        <v>127</v>
      </c>
      <c r="B22" s="3" t="s">
        <v>128</v>
      </c>
      <c r="C22" s="3">
        <v>1.0</v>
      </c>
      <c r="D22" s="3" t="s">
        <v>129</v>
      </c>
      <c r="E22" s="4"/>
      <c r="F22" s="4"/>
      <c r="G22" s="3" t="s">
        <v>87</v>
      </c>
      <c r="H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3" t="s">
        <v>130</v>
      </c>
      <c r="B23" s="3" t="s">
        <v>131</v>
      </c>
      <c r="C23" s="3">
        <v>7.0</v>
      </c>
      <c r="D23" s="3" t="s">
        <v>132</v>
      </c>
      <c r="E23" s="4"/>
      <c r="F23" s="4"/>
      <c r="G23" s="3" t="s">
        <v>78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3" t="s">
        <v>133</v>
      </c>
      <c r="B24" s="3" t="s">
        <v>134</v>
      </c>
      <c r="C24" s="3">
        <v>3.0</v>
      </c>
      <c r="D24" s="3" t="s">
        <v>135</v>
      </c>
      <c r="E24" s="4"/>
      <c r="F24" s="4"/>
      <c r="G24" s="3" t="s">
        <v>115</v>
      </c>
      <c r="H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3" t="s">
        <v>69</v>
      </c>
      <c r="B25" s="3" t="s">
        <v>70</v>
      </c>
      <c r="C25" s="3">
        <v>13.0</v>
      </c>
      <c r="D25" s="3" t="s">
        <v>136</v>
      </c>
      <c r="E25" s="4"/>
      <c r="F25" s="4"/>
      <c r="G25" s="3" t="s">
        <v>78</v>
      </c>
      <c r="H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3" t="s">
        <v>137</v>
      </c>
      <c r="B26" s="3" t="s">
        <v>138</v>
      </c>
      <c r="C26" s="3">
        <v>6.0</v>
      </c>
      <c r="D26" s="3" t="s">
        <v>139</v>
      </c>
      <c r="E26" s="3">
        <v>1.0</v>
      </c>
      <c r="F26" s="4"/>
      <c r="G26" s="3" t="s">
        <v>78</v>
      </c>
      <c r="H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3" t="s">
        <v>140</v>
      </c>
      <c r="B27" s="3" t="s">
        <v>141</v>
      </c>
      <c r="C27" s="3">
        <v>4.0</v>
      </c>
      <c r="D27" s="3" t="s">
        <v>142</v>
      </c>
      <c r="E27" s="4"/>
      <c r="F27" s="4"/>
      <c r="G27" s="3" t="s">
        <v>115</v>
      </c>
      <c r="H27" s="3" t="s">
        <v>79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3" t="s">
        <v>143</v>
      </c>
      <c r="B28" s="3" t="s">
        <v>144</v>
      </c>
      <c r="C28" s="3">
        <v>8.0</v>
      </c>
      <c r="D28" s="3" t="s">
        <v>145</v>
      </c>
      <c r="E28" s="3">
        <v>2.0</v>
      </c>
      <c r="F28" s="4"/>
      <c r="G28" s="3" t="s">
        <v>78</v>
      </c>
      <c r="H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3" t="s">
        <v>146</v>
      </c>
      <c r="B29" s="3" t="s">
        <v>147</v>
      </c>
      <c r="C29" s="3">
        <v>6.0</v>
      </c>
      <c r="D29" s="3" t="s">
        <v>148</v>
      </c>
      <c r="E29" s="3">
        <v>1.0</v>
      </c>
      <c r="F29" s="4"/>
      <c r="G29" s="3" t="s">
        <v>115</v>
      </c>
      <c r="H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3" t="s">
        <v>149</v>
      </c>
      <c r="B30" s="3" t="s">
        <v>150</v>
      </c>
      <c r="C30" s="3">
        <v>2.0</v>
      </c>
      <c r="D30" s="3" t="s">
        <v>151</v>
      </c>
      <c r="E30" s="4"/>
      <c r="F30" s="4"/>
      <c r="G30" s="3" t="s">
        <v>78</v>
      </c>
      <c r="H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3" t="s">
        <v>152</v>
      </c>
      <c r="B31" s="3" t="s">
        <v>153</v>
      </c>
      <c r="C31" s="3">
        <v>3.0</v>
      </c>
      <c r="D31" s="3" t="s">
        <v>154</v>
      </c>
      <c r="E31" s="4"/>
      <c r="F31" s="4"/>
      <c r="G31" s="3" t="s">
        <v>115</v>
      </c>
      <c r="H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3" t="s">
        <v>155</v>
      </c>
      <c r="B32" s="3" t="s">
        <v>156</v>
      </c>
      <c r="C32" s="3">
        <v>1.0</v>
      </c>
      <c r="D32" s="3" t="s">
        <v>157</v>
      </c>
      <c r="E32" s="4"/>
      <c r="F32" s="4"/>
      <c r="G32" s="3" t="s">
        <v>78</v>
      </c>
      <c r="H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3" t="s">
        <v>71</v>
      </c>
      <c r="B33" s="3" t="s">
        <v>72</v>
      </c>
      <c r="C33" s="3">
        <v>13.0</v>
      </c>
      <c r="D33" s="3" t="s">
        <v>158</v>
      </c>
      <c r="E33" s="3">
        <v>2.0</v>
      </c>
      <c r="F33" s="4"/>
      <c r="G33" s="3" t="s">
        <v>78</v>
      </c>
      <c r="H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3" t="s">
        <v>159</v>
      </c>
      <c r="B34" s="3" t="s">
        <v>160</v>
      </c>
      <c r="C34" s="3">
        <v>2.0</v>
      </c>
      <c r="D34" s="3" t="s">
        <v>161</v>
      </c>
      <c r="E34" s="3">
        <v>1.0</v>
      </c>
      <c r="F34" s="4"/>
      <c r="G34" s="3" t="s">
        <v>78</v>
      </c>
      <c r="H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3" t="s">
        <v>81</v>
      </c>
      <c r="B35" s="3" t="s">
        <v>162</v>
      </c>
      <c r="C35" s="3">
        <v>1.0</v>
      </c>
      <c r="D35" s="3" t="s">
        <v>163</v>
      </c>
      <c r="E35" s="4"/>
      <c r="F35" s="4"/>
      <c r="G35" s="3" t="s">
        <v>78</v>
      </c>
      <c r="H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3" t="s">
        <v>164</v>
      </c>
      <c r="B36" s="3" t="s">
        <v>165</v>
      </c>
      <c r="C36" s="3">
        <v>2.0</v>
      </c>
      <c r="D36" s="3" t="s">
        <v>166</v>
      </c>
      <c r="E36" s="3">
        <v>2.0</v>
      </c>
      <c r="F36" s="4"/>
      <c r="G36" s="3" t="s">
        <v>78</v>
      </c>
      <c r="H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3" t="s">
        <v>60</v>
      </c>
      <c r="B37" s="3" t="s">
        <v>61</v>
      </c>
      <c r="C37" s="3">
        <v>4.0</v>
      </c>
      <c r="D37" s="3" t="s">
        <v>167</v>
      </c>
      <c r="E37" s="3">
        <v>1.0</v>
      </c>
      <c r="F37" s="4"/>
      <c r="G37" s="3" t="s">
        <v>87</v>
      </c>
      <c r="H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3" t="s">
        <v>168</v>
      </c>
      <c r="B38" s="3" t="s">
        <v>169</v>
      </c>
      <c r="C38" s="3">
        <v>2.0</v>
      </c>
      <c r="D38" s="3" t="s">
        <v>170</v>
      </c>
      <c r="E38" s="4"/>
      <c r="F38" s="4"/>
      <c r="G38" s="3" t="s">
        <v>78</v>
      </c>
      <c r="H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3" t="s">
        <v>171</v>
      </c>
      <c r="B39" s="3" t="s">
        <v>48</v>
      </c>
      <c r="C39" s="3">
        <v>2.0</v>
      </c>
      <c r="D39" s="3" t="s">
        <v>172</v>
      </c>
      <c r="E39" s="4"/>
      <c r="F39" s="4"/>
      <c r="G39" s="3" t="s">
        <v>78</v>
      </c>
      <c r="H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3" t="s">
        <v>173</v>
      </c>
      <c r="B40" s="3" t="s">
        <v>150</v>
      </c>
      <c r="C40" s="3">
        <v>1.0</v>
      </c>
      <c r="D40" s="3" t="s">
        <v>174</v>
      </c>
      <c r="E40" s="4"/>
      <c r="F40" s="4"/>
      <c r="G40" s="3" t="s">
        <v>78</v>
      </c>
      <c r="H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3" t="s">
        <v>175</v>
      </c>
      <c r="B41" s="3" t="s">
        <v>176</v>
      </c>
      <c r="C41" s="3">
        <v>4.0</v>
      </c>
      <c r="D41" s="3" t="s">
        <v>177</v>
      </c>
      <c r="E41" s="3">
        <v>1.0</v>
      </c>
      <c r="F41" s="4"/>
      <c r="G41" s="3" t="s">
        <v>178</v>
      </c>
      <c r="H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3" t="s">
        <v>179</v>
      </c>
      <c r="B42" s="3" t="s">
        <v>59</v>
      </c>
      <c r="C42" s="3">
        <v>8.0</v>
      </c>
      <c r="D42" s="3" t="s">
        <v>180</v>
      </c>
      <c r="E42" s="4"/>
      <c r="F42" s="4"/>
      <c r="G42" s="3" t="s">
        <v>115</v>
      </c>
      <c r="H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3" t="s">
        <v>181</v>
      </c>
      <c r="B43" s="3" t="s">
        <v>182</v>
      </c>
      <c r="C43" s="3">
        <v>2.0</v>
      </c>
      <c r="D43" s="3" t="s">
        <v>183</v>
      </c>
      <c r="E43" s="4"/>
      <c r="F43" s="4"/>
      <c r="G43" s="3" t="s">
        <v>78</v>
      </c>
      <c r="H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3" t="s">
        <v>184</v>
      </c>
      <c r="B44" s="3" t="s">
        <v>185</v>
      </c>
      <c r="C44" s="3">
        <v>1.0</v>
      </c>
      <c r="D44" s="3" t="s">
        <v>85</v>
      </c>
      <c r="E44" s="4"/>
      <c r="F44" s="4"/>
      <c r="G44" s="3" t="s">
        <v>115</v>
      </c>
      <c r="H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3" t="s">
        <v>184</v>
      </c>
      <c r="B45" s="3" t="s">
        <v>186</v>
      </c>
      <c r="C45" s="3">
        <v>1.0</v>
      </c>
      <c r="D45" s="3" t="s">
        <v>187</v>
      </c>
      <c r="E45" s="4"/>
      <c r="F45" s="4"/>
      <c r="G45" s="3" t="s">
        <v>115</v>
      </c>
      <c r="H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3" t="s">
        <v>188</v>
      </c>
      <c r="B46" s="3" t="s">
        <v>189</v>
      </c>
      <c r="C46" s="3">
        <v>2.0</v>
      </c>
      <c r="D46" s="3" t="s">
        <v>190</v>
      </c>
      <c r="E46" s="4"/>
      <c r="F46" s="4"/>
      <c r="G46" s="3" t="s">
        <v>115</v>
      </c>
      <c r="H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3" t="s">
        <v>191</v>
      </c>
      <c r="B47" s="3" t="s">
        <v>192</v>
      </c>
      <c r="C47" s="3">
        <v>1.0</v>
      </c>
      <c r="D47" s="3" t="s">
        <v>157</v>
      </c>
      <c r="E47" s="4"/>
      <c r="F47" s="4"/>
      <c r="G47" s="3" t="s">
        <v>115</v>
      </c>
      <c r="H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3" t="s">
        <v>193</v>
      </c>
      <c r="B48" s="3" t="s">
        <v>194</v>
      </c>
      <c r="C48" s="3">
        <v>1.0</v>
      </c>
      <c r="D48" s="3" t="s">
        <v>85</v>
      </c>
      <c r="E48" s="4"/>
      <c r="F48" s="4"/>
      <c r="G48" s="3" t="s">
        <v>115</v>
      </c>
      <c r="H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3" t="s">
        <v>195</v>
      </c>
      <c r="B49" s="3" t="s">
        <v>196</v>
      </c>
      <c r="C49" s="3">
        <v>1.0</v>
      </c>
      <c r="D49" s="3" t="s">
        <v>163</v>
      </c>
      <c r="E49" s="4"/>
      <c r="F49" s="4"/>
      <c r="G49" s="3" t="s">
        <v>115</v>
      </c>
      <c r="H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3" t="s">
        <v>197</v>
      </c>
      <c r="B50" s="3" t="s">
        <v>198</v>
      </c>
      <c r="C50" s="3">
        <v>1.0</v>
      </c>
      <c r="D50" s="3" t="s">
        <v>157</v>
      </c>
      <c r="E50" s="4"/>
      <c r="F50" s="4"/>
      <c r="G50" s="3" t="s">
        <v>78</v>
      </c>
      <c r="H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3" t="s">
        <v>199</v>
      </c>
      <c r="B51" s="3" t="s">
        <v>200</v>
      </c>
      <c r="C51" s="3">
        <v>1.0</v>
      </c>
      <c r="D51" s="3" t="s">
        <v>201</v>
      </c>
      <c r="E51" s="3">
        <v>1.0</v>
      </c>
      <c r="F51" s="4"/>
      <c r="G51" s="3" t="s">
        <v>78</v>
      </c>
      <c r="H51" s="3" t="s">
        <v>202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3" t="s">
        <v>66</v>
      </c>
      <c r="B52" s="3" t="s">
        <v>67</v>
      </c>
      <c r="C52" s="3">
        <v>6.0</v>
      </c>
      <c r="D52" s="3" t="s">
        <v>203</v>
      </c>
      <c r="E52" s="4"/>
      <c r="F52" s="4"/>
      <c r="G52" s="3" t="s">
        <v>78</v>
      </c>
      <c r="H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3" t="s">
        <v>204</v>
      </c>
      <c r="B53" s="3" t="s">
        <v>95</v>
      </c>
      <c r="C53" s="3">
        <v>1.0</v>
      </c>
      <c r="D53" s="3" t="s">
        <v>174</v>
      </c>
      <c r="E53" s="4"/>
      <c r="F53" s="4"/>
      <c r="G53" s="3" t="s">
        <v>78</v>
      </c>
      <c r="H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3" t="s">
        <v>41</v>
      </c>
      <c r="B54" s="3" t="s">
        <v>205</v>
      </c>
      <c r="C54" s="3">
        <v>1.0</v>
      </c>
      <c r="D54" s="3" t="s">
        <v>201</v>
      </c>
      <c r="E54" s="4"/>
      <c r="F54" s="4"/>
      <c r="G54" s="3" t="s">
        <v>78</v>
      </c>
      <c r="H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3" t="s">
        <v>206</v>
      </c>
      <c r="B55" s="3" t="s">
        <v>207</v>
      </c>
      <c r="C55" s="3">
        <v>1.0</v>
      </c>
      <c r="D55" s="3" t="s">
        <v>174</v>
      </c>
      <c r="E55" s="4"/>
      <c r="F55" s="4"/>
      <c r="G55" s="3" t="s">
        <v>115</v>
      </c>
      <c r="H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3" t="s">
        <v>53</v>
      </c>
      <c r="B56" s="3" t="s">
        <v>54</v>
      </c>
      <c r="C56" s="3">
        <v>4.0</v>
      </c>
      <c r="D56" s="3" t="s">
        <v>208</v>
      </c>
      <c r="E56" s="3">
        <v>1.0</v>
      </c>
      <c r="F56" s="4"/>
      <c r="G56" s="3" t="s">
        <v>78</v>
      </c>
      <c r="H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3" t="s">
        <v>209</v>
      </c>
      <c r="B57" s="3" t="s">
        <v>56</v>
      </c>
      <c r="C57" s="3">
        <v>1.0</v>
      </c>
      <c r="D57" s="3" t="s">
        <v>187</v>
      </c>
      <c r="E57" s="3">
        <v>1.0</v>
      </c>
      <c r="F57" s="4"/>
      <c r="G57" s="3" t="s">
        <v>78</v>
      </c>
      <c r="H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3" t="s">
        <v>62</v>
      </c>
      <c r="B58" s="3" t="s">
        <v>63</v>
      </c>
      <c r="C58" s="3">
        <v>2.0</v>
      </c>
      <c r="D58" s="3" t="s">
        <v>161</v>
      </c>
      <c r="E58" s="4"/>
      <c r="F58" s="4"/>
      <c r="G58" s="3" t="s">
        <v>78</v>
      </c>
      <c r="H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2" t="s">
        <v>210</v>
      </c>
      <c r="B60" s="4"/>
      <c r="C60" s="4"/>
      <c r="D60" s="4"/>
      <c r="E60" s="4"/>
      <c r="F60" s="4"/>
      <c r="G60" s="4"/>
      <c r="H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4" t="s">
        <v>34</v>
      </c>
      <c r="B61" s="14" t="s">
        <v>35</v>
      </c>
      <c r="C61" s="14" t="s">
        <v>74</v>
      </c>
      <c r="D61" s="14" t="s">
        <v>75</v>
      </c>
      <c r="E61" s="14" t="s">
        <v>18</v>
      </c>
      <c r="F61" s="14" t="s">
        <v>19</v>
      </c>
      <c r="G61" s="14" t="s">
        <v>76</v>
      </c>
      <c r="H61" s="14" t="s">
        <v>24</v>
      </c>
      <c r="I61" s="15"/>
      <c r="J61" s="15"/>
      <c r="K61" s="15"/>
      <c r="L61" s="15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3" t="s">
        <v>137</v>
      </c>
      <c r="B62" s="3" t="s">
        <v>138</v>
      </c>
      <c r="C62" s="3">
        <v>16.0</v>
      </c>
      <c r="D62" s="3" t="s">
        <v>211</v>
      </c>
      <c r="E62" s="3">
        <v>4.0</v>
      </c>
      <c r="F62" s="4"/>
      <c r="G62" s="3" t="s">
        <v>78</v>
      </c>
      <c r="H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3" t="s">
        <v>212</v>
      </c>
      <c r="B63" s="3" t="s">
        <v>156</v>
      </c>
      <c r="C63" s="3">
        <v>25.0</v>
      </c>
      <c r="D63" s="3" t="s">
        <v>213</v>
      </c>
      <c r="E63" s="3">
        <v>1.0</v>
      </c>
      <c r="F63" s="4"/>
      <c r="G63" s="3" t="s">
        <v>78</v>
      </c>
      <c r="H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3" t="s">
        <v>173</v>
      </c>
      <c r="B64" s="3" t="s">
        <v>150</v>
      </c>
      <c r="C64" s="3">
        <v>19.0</v>
      </c>
      <c r="D64" s="3" t="s">
        <v>214</v>
      </c>
      <c r="E64" s="3">
        <v>3.0</v>
      </c>
      <c r="F64" s="4"/>
      <c r="G64" s="3" t="s">
        <v>78</v>
      </c>
      <c r="H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3" t="s">
        <v>204</v>
      </c>
      <c r="B65" s="3" t="s">
        <v>95</v>
      </c>
      <c r="C65" s="3">
        <v>23.0</v>
      </c>
      <c r="D65" s="3" t="s">
        <v>215</v>
      </c>
      <c r="E65" s="3">
        <v>2.0</v>
      </c>
      <c r="F65" s="4"/>
      <c r="G65" s="3" t="s">
        <v>78</v>
      </c>
      <c r="H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3" t="s">
        <v>171</v>
      </c>
      <c r="B66" s="3" t="s">
        <v>48</v>
      </c>
      <c r="C66" s="3">
        <v>21.0</v>
      </c>
      <c r="D66" s="3" t="s">
        <v>216</v>
      </c>
      <c r="E66" s="3">
        <v>2.0</v>
      </c>
      <c r="F66" s="3">
        <v>1.0</v>
      </c>
      <c r="G66" s="3" t="s">
        <v>78</v>
      </c>
      <c r="H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3" t="s">
        <v>217</v>
      </c>
      <c r="B67" s="3" t="s">
        <v>106</v>
      </c>
      <c r="C67" s="3">
        <v>26.0</v>
      </c>
      <c r="D67" s="3" t="s">
        <v>218</v>
      </c>
      <c r="E67" s="3">
        <v>3.0</v>
      </c>
      <c r="F67" s="4"/>
      <c r="G67" s="3" t="s">
        <v>78</v>
      </c>
      <c r="H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3" t="s">
        <v>219</v>
      </c>
      <c r="B68" s="3" t="s">
        <v>220</v>
      </c>
      <c r="C68" s="3">
        <v>2.0</v>
      </c>
      <c r="D68" s="3" t="s">
        <v>221</v>
      </c>
      <c r="E68" s="4"/>
      <c r="F68" s="4"/>
      <c r="G68" s="3" t="s">
        <v>115</v>
      </c>
      <c r="H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3" t="s">
        <v>62</v>
      </c>
      <c r="B69" s="3" t="s">
        <v>63</v>
      </c>
      <c r="C69" s="3">
        <v>3.0</v>
      </c>
      <c r="D69" s="3" t="s">
        <v>222</v>
      </c>
      <c r="E69" s="4"/>
      <c r="F69" s="4"/>
      <c r="G69" s="3" t="s">
        <v>78</v>
      </c>
      <c r="H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3" t="s">
        <v>223</v>
      </c>
      <c r="B70" s="3" t="s">
        <v>224</v>
      </c>
      <c r="C70" s="3">
        <v>19.0</v>
      </c>
      <c r="D70" s="3" t="s">
        <v>225</v>
      </c>
      <c r="E70" s="3">
        <v>1.0</v>
      </c>
      <c r="F70" s="3">
        <v>1.0</v>
      </c>
      <c r="G70" s="3" t="s">
        <v>78</v>
      </c>
      <c r="H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3" t="s">
        <v>226</v>
      </c>
      <c r="B71" s="3" t="s">
        <v>227</v>
      </c>
      <c r="C71" s="3">
        <v>26.0</v>
      </c>
      <c r="D71" s="3" t="s">
        <v>228</v>
      </c>
      <c r="E71" s="4"/>
      <c r="F71" s="4"/>
      <c r="G71" s="3" t="s">
        <v>115</v>
      </c>
      <c r="H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3" t="s">
        <v>159</v>
      </c>
      <c r="B72" s="3" t="s">
        <v>160</v>
      </c>
      <c r="C72" s="3">
        <v>2.0</v>
      </c>
      <c r="D72" s="3" t="s">
        <v>229</v>
      </c>
      <c r="E72" s="4"/>
      <c r="F72" s="4"/>
      <c r="G72" s="3" t="s">
        <v>78</v>
      </c>
      <c r="H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3" t="s">
        <v>140</v>
      </c>
      <c r="B73" s="3" t="s">
        <v>141</v>
      </c>
      <c r="C73" s="3">
        <v>11.0</v>
      </c>
      <c r="D73" s="3" t="s">
        <v>230</v>
      </c>
      <c r="E73" s="4"/>
      <c r="F73" s="4"/>
      <c r="G73" s="3" t="s">
        <v>115</v>
      </c>
      <c r="H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3" t="s">
        <v>164</v>
      </c>
      <c r="B74" s="3" t="s">
        <v>165</v>
      </c>
      <c r="C74" s="3">
        <v>23.0</v>
      </c>
      <c r="D74" s="3" t="s">
        <v>231</v>
      </c>
      <c r="E74" s="3">
        <v>5.0</v>
      </c>
      <c r="F74" s="3">
        <v>1.0</v>
      </c>
      <c r="G74" s="3" t="s">
        <v>78</v>
      </c>
      <c r="H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3" t="s">
        <v>232</v>
      </c>
      <c r="B75" s="3" t="s">
        <v>233</v>
      </c>
      <c r="C75" s="3">
        <v>15.0</v>
      </c>
      <c r="D75" s="3" t="s">
        <v>234</v>
      </c>
      <c r="E75" s="3">
        <v>2.0</v>
      </c>
      <c r="F75" s="3">
        <v>2.0</v>
      </c>
      <c r="G75" s="3" t="s">
        <v>78</v>
      </c>
      <c r="H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3" t="s">
        <v>60</v>
      </c>
      <c r="B76" s="3" t="s">
        <v>61</v>
      </c>
      <c r="C76" s="3">
        <v>21.0</v>
      </c>
      <c r="D76" s="3" t="s">
        <v>235</v>
      </c>
      <c r="E76" s="3">
        <v>4.0</v>
      </c>
      <c r="F76" s="4"/>
      <c r="G76" s="3" t="s">
        <v>87</v>
      </c>
      <c r="H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3" t="s">
        <v>81</v>
      </c>
      <c r="B77" s="3" t="s">
        <v>162</v>
      </c>
      <c r="C77" s="3">
        <v>12.0</v>
      </c>
      <c r="D77" s="3" t="s">
        <v>236</v>
      </c>
      <c r="E77" s="3">
        <v>3.0</v>
      </c>
      <c r="F77" s="4"/>
      <c r="G77" s="3" t="s">
        <v>78</v>
      </c>
      <c r="H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3" t="s">
        <v>237</v>
      </c>
      <c r="B78" s="3" t="s">
        <v>238</v>
      </c>
      <c r="C78" s="3">
        <v>14.0</v>
      </c>
      <c r="D78" s="3" t="s">
        <v>239</v>
      </c>
      <c r="E78" s="4"/>
      <c r="F78" s="4"/>
      <c r="G78" s="3" t="s">
        <v>115</v>
      </c>
      <c r="H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3" t="s">
        <v>118</v>
      </c>
      <c r="B79" s="3" t="s">
        <v>119</v>
      </c>
      <c r="C79" s="3">
        <v>11.0</v>
      </c>
      <c r="D79" s="3" t="s">
        <v>240</v>
      </c>
      <c r="E79" s="3">
        <v>2.0</v>
      </c>
      <c r="F79" s="4"/>
      <c r="G79" s="3" t="s">
        <v>78</v>
      </c>
      <c r="H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3" t="s">
        <v>127</v>
      </c>
      <c r="B80" s="3" t="s">
        <v>128</v>
      </c>
      <c r="C80" s="3">
        <v>1.0</v>
      </c>
      <c r="D80" s="3" t="s">
        <v>157</v>
      </c>
      <c r="E80" s="4"/>
      <c r="F80" s="4"/>
      <c r="G80" s="3" t="s">
        <v>87</v>
      </c>
      <c r="H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3" t="s">
        <v>69</v>
      </c>
      <c r="B81" s="3" t="s">
        <v>70</v>
      </c>
      <c r="C81" s="3">
        <v>4.0</v>
      </c>
      <c r="D81" s="3" t="s">
        <v>241</v>
      </c>
      <c r="E81" s="3">
        <v>1.0</v>
      </c>
      <c r="F81" s="4"/>
      <c r="G81" s="3" t="s">
        <v>78</v>
      </c>
      <c r="H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3" t="s">
        <v>89</v>
      </c>
      <c r="B82" s="3" t="s">
        <v>90</v>
      </c>
      <c r="C82" s="3">
        <v>24.0</v>
      </c>
      <c r="D82" s="3" t="s">
        <v>242</v>
      </c>
      <c r="E82" s="3">
        <v>3.0</v>
      </c>
      <c r="F82" s="4"/>
      <c r="G82" s="3" t="s">
        <v>87</v>
      </c>
      <c r="H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3" t="s">
        <v>121</v>
      </c>
      <c r="B83" s="3" t="s">
        <v>100</v>
      </c>
      <c r="C83" s="3">
        <v>15.0</v>
      </c>
      <c r="D83" s="3" t="s">
        <v>243</v>
      </c>
      <c r="E83" s="3">
        <v>4.0</v>
      </c>
      <c r="F83" s="4"/>
      <c r="G83" s="3" t="s">
        <v>78</v>
      </c>
      <c r="H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3" t="s">
        <v>130</v>
      </c>
      <c r="B84" s="3" t="s">
        <v>131</v>
      </c>
      <c r="C84" s="3">
        <v>4.0</v>
      </c>
      <c r="D84" s="3" t="s">
        <v>244</v>
      </c>
      <c r="E84" s="3">
        <v>1.0</v>
      </c>
      <c r="F84" s="4"/>
      <c r="G84" s="3" t="s">
        <v>78</v>
      </c>
      <c r="H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3" t="s">
        <v>41</v>
      </c>
      <c r="B85" s="3" t="s">
        <v>42</v>
      </c>
      <c r="C85" s="3">
        <v>1.0</v>
      </c>
      <c r="D85" s="3" t="s">
        <v>245</v>
      </c>
      <c r="E85" s="4"/>
      <c r="F85" s="4"/>
      <c r="G85" s="3" t="s">
        <v>78</v>
      </c>
      <c r="H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3" t="s">
        <v>55</v>
      </c>
      <c r="B86" s="3" t="s">
        <v>56</v>
      </c>
      <c r="C86" s="3">
        <v>9.0</v>
      </c>
      <c r="D86" s="3" t="s">
        <v>246</v>
      </c>
      <c r="E86" s="4"/>
      <c r="F86" s="4"/>
      <c r="G86" s="3" t="s">
        <v>78</v>
      </c>
      <c r="H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3" t="s">
        <v>247</v>
      </c>
      <c r="B87" s="3" t="s">
        <v>248</v>
      </c>
      <c r="C87" s="3">
        <v>4.0</v>
      </c>
      <c r="D87" s="3" t="s">
        <v>249</v>
      </c>
      <c r="E87" s="4"/>
      <c r="F87" s="4"/>
      <c r="G87" s="3" t="s">
        <v>78</v>
      </c>
      <c r="H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3" t="s">
        <v>250</v>
      </c>
      <c r="B88" s="3" t="s">
        <v>251</v>
      </c>
      <c r="C88" s="3">
        <v>2.0</v>
      </c>
      <c r="D88" s="3" t="s">
        <v>252</v>
      </c>
      <c r="E88" s="4"/>
      <c r="F88" s="4"/>
      <c r="G88" s="3" t="s">
        <v>78</v>
      </c>
      <c r="H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3" t="s">
        <v>168</v>
      </c>
      <c r="B89" s="3" t="s">
        <v>169</v>
      </c>
      <c r="C89" s="3">
        <v>1.0</v>
      </c>
      <c r="D89" s="3" t="s">
        <v>157</v>
      </c>
      <c r="E89" s="4"/>
      <c r="F89" s="4"/>
      <c r="G89" s="3" t="s">
        <v>78</v>
      </c>
      <c r="H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3" t="s">
        <v>81</v>
      </c>
      <c r="B90" s="3" t="s">
        <v>82</v>
      </c>
      <c r="C90" s="3">
        <v>10.0</v>
      </c>
      <c r="D90" s="3" t="s">
        <v>253</v>
      </c>
      <c r="E90" s="3">
        <v>1.0</v>
      </c>
      <c r="F90" s="4"/>
      <c r="G90" s="3" t="s">
        <v>78</v>
      </c>
      <c r="H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3" t="s">
        <v>99</v>
      </c>
      <c r="B91" s="3" t="s">
        <v>100</v>
      </c>
      <c r="C91" s="3">
        <v>1.0</v>
      </c>
      <c r="D91" s="3" t="s">
        <v>187</v>
      </c>
      <c r="E91" s="4"/>
      <c r="F91" s="4"/>
      <c r="G91" s="3" t="s">
        <v>78</v>
      </c>
      <c r="H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3" t="s">
        <v>195</v>
      </c>
      <c r="B92" s="3" t="s">
        <v>254</v>
      </c>
      <c r="C92" s="3">
        <v>7.0</v>
      </c>
      <c r="D92" s="3" t="s">
        <v>255</v>
      </c>
      <c r="E92" s="3">
        <v>1.0</v>
      </c>
      <c r="F92" s="4"/>
      <c r="G92" s="3" t="s">
        <v>115</v>
      </c>
      <c r="H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3" t="s">
        <v>41</v>
      </c>
      <c r="B93" s="3" t="s">
        <v>205</v>
      </c>
      <c r="C93" s="3">
        <v>1.0</v>
      </c>
      <c r="D93" s="3" t="s">
        <v>157</v>
      </c>
      <c r="E93" s="4"/>
      <c r="F93" s="4"/>
      <c r="G93" s="3" t="s">
        <v>78</v>
      </c>
      <c r="H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3" t="s">
        <v>71</v>
      </c>
      <c r="B94" s="3" t="s">
        <v>72</v>
      </c>
      <c r="C94" s="3">
        <v>2.0</v>
      </c>
      <c r="D94" s="3" t="s">
        <v>190</v>
      </c>
      <c r="E94" s="4"/>
      <c r="F94" s="4"/>
      <c r="G94" s="3" t="s">
        <v>78</v>
      </c>
      <c r="H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3" t="s">
        <v>256</v>
      </c>
      <c r="B95" s="3" t="s">
        <v>257</v>
      </c>
      <c r="C95" s="3">
        <v>1.0</v>
      </c>
      <c r="D95" s="3" t="s">
        <v>157</v>
      </c>
      <c r="E95" s="4"/>
      <c r="F95" s="4"/>
      <c r="G95" s="3" t="s">
        <v>78</v>
      </c>
      <c r="H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2" t="s">
        <v>258</v>
      </c>
      <c r="B97" s="4"/>
      <c r="C97" s="4"/>
      <c r="D97" s="4"/>
      <c r="E97" s="4"/>
      <c r="F97" s="4"/>
      <c r="G97" s="4"/>
      <c r="H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4" t="s">
        <v>34</v>
      </c>
      <c r="B98" s="14" t="s">
        <v>35</v>
      </c>
      <c r="C98" s="14" t="s">
        <v>74</v>
      </c>
      <c r="D98" s="14" t="s">
        <v>75</v>
      </c>
      <c r="E98" s="14" t="s">
        <v>18</v>
      </c>
      <c r="F98" s="14" t="s">
        <v>19</v>
      </c>
      <c r="G98" s="14" t="s">
        <v>76</v>
      </c>
      <c r="H98" s="14" t="s">
        <v>24</v>
      </c>
      <c r="I98" s="15"/>
      <c r="J98" s="15"/>
      <c r="K98" s="15"/>
      <c r="L98" s="15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6" t="s">
        <v>259</v>
      </c>
      <c r="B99" s="16" t="s">
        <v>260</v>
      </c>
      <c r="C99" s="3">
        <v>19.0</v>
      </c>
      <c r="D99" s="3" t="s">
        <v>261</v>
      </c>
      <c r="E99" s="4"/>
      <c r="F99" s="4"/>
      <c r="G99" s="3" t="s">
        <v>78</v>
      </c>
      <c r="H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3" t="s">
        <v>193</v>
      </c>
      <c r="B100" s="3" t="s">
        <v>194</v>
      </c>
      <c r="C100" s="3">
        <v>13.0</v>
      </c>
      <c r="D100" s="3" t="s">
        <v>262</v>
      </c>
      <c r="E100" s="3">
        <v>7.0</v>
      </c>
      <c r="F100" s="3">
        <v>1.0</v>
      </c>
      <c r="G100" s="3" t="s">
        <v>115</v>
      </c>
      <c r="H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6" t="s">
        <v>263</v>
      </c>
      <c r="B101" s="16" t="s">
        <v>264</v>
      </c>
      <c r="C101" s="3">
        <v>20.0</v>
      </c>
      <c r="D101" s="3" t="s">
        <v>265</v>
      </c>
      <c r="E101" s="3">
        <v>3.0</v>
      </c>
      <c r="F101" s="4"/>
      <c r="G101" s="3" t="s">
        <v>78</v>
      </c>
      <c r="H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6" t="s">
        <v>250</v>
      </c>
      <c r="B102" s="16" t="s">
        <v>251</v>
      </c>
      <c r="C102" s="3">
        <v>18.0</v>
      </c>
      <c r="D102" s="3" t="s">
        <v>266</v>
      </c>
      <c r="E102" s="3">
        <v>3.0</v>
      </c>
      <c r="F102" s="3">
        <v>1.0</v>
      </c>
      <c r="G102" s="3" t="s">
        <v>78</v>
      </c>
      <c r="H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6" t="s">
        <v>84</v>
      </c>
      <c r="B103" s="16" t="s">
        <v>56</v>
      </c>
      <c r="C103" s="3">
        <v>3.0</v>
      </c>
      <c r="D103" s="3" t="s">
        <v>267</v>
      </c>
      <c r="E103" s="4"/>
      <c r="F103" s="4"/>
      <c r="G103" s="3" t="s">
        <v>78</v>
      </c>
      <c r="H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3" t="s">
        <v>81</v>
      </c>
      <c r="B104" s="3" t="s">
        <v>82</v>
      </c>
      <c r="C104" s="3">
        <v>8.0</v>
      </c>
      <c r="D104" s="3" t="s">
        <v>268</v>
      </c>
      <c r="E104" s="3">
        <v>3.0</v>
      </c>
      <c r="F104" s="4"/>
      <c r="G104" s="3" t="s">
        <v>78</v>
      </c>
      <c r="H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3" t="s">
        <v>41</v>
      </c>
      <c r="B105" s="3" t="s">
        <v>205</v>
      </c>
      <c r="C105" s="3">
        <v>14.0</v>
      </c>
      <c r="D105" s="3" t="s">
        <v>269</v>
      </c>
      <c r="E105" s="3">
        <v>5.0</v>
      </c>
      <c r="F105" s="3">
        <v>1.0</v>
      </c>
      <c r="G105" s="3" t="s">
        <v>78</v>
      </c>
      <c r="H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3" t="s">
        <v>159</v>
      </c>
      <c r="B106" s="3" t="s">
        <v>160</v>
      </c>
      <c r="C106" s="3">
        <v>1.0</v>
      </c>
      <c r="D106" s="3" t="s">
        <v>201</v>
      </c>
      <c r="E106" s="4"/>
      <c r="F106" s="4"/>
      <c r="G106" s="3" t="s">
        <v>78</v>
      </c>
      <c r="H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6" t="s">
        <v>247</v>
      </c>
      <c r="B107" s="16" t="s">
        <v>248</v>
      </c>
      <c r="C107" s="3">
        <v>18.0</v>
      </c>
      <c r="D107" s="3" t="s">
        <v>270</v>
      </c>
      <c r="E107" s="4"/>
      <c r="F107" s="4"/>
      <c r="G107" s="3" t="s">
        <v>78</v>
      </c>
      <c r="H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3" t="s">
        <v>195</v>
      </c>
      <c r="B108" s="3" t="s">
        <v>254</v>
      </c>
      <c r="C108" s="3">
        <v>8.0</v>
      </c>
      <c r="D108" s="3" t="s">
        <v>271</v>
      </c>
      <c r="E108" s="3">
        <v>2.0</v>
      </c>
      <c r="F108" s="4"/>
      <c r="G108" s="3" t="s">
        <v>115</v>
      </c>
      <c r="H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6" t="s">
        <v>272</v>
      </c>
      <c r="B109" s="16" t="s">
        <v>273</v>
      </c>
      <c r="C109" s="3">
        <v>14.0</v>
      </c>
      <c r="D109" s="3" t="s">
        <v>274</v>
      </c>
      <c r="E109" s="3">
        <v>1.0</v>
      </c>
      <c r="F109" s="4"/>
      <c r="G109" s="3" t="s">
        <v>78</v>
      </c>
      <c r="H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3" t="s">
        <v>275</v>
      </c>
      <c r="B110" s="3" t="s">
        <v>276</v>
      </c>
      <c r="C110" s="3">
        <v>12.0</v>
      </c>
      <c r="D110" s="3" t="s">
        <v>277</v>
      </c>
      <c r="E110" s="3">
        <v>1.0</v>
      </c>
      <c r="F110" s="4"/>
      <c r="G110" s="3" t="s">
        <v>87</v>
      </c>
      <c r="H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3" t="s">
        <v>71</v>
      </c>
      <c r="B111" s="3" t="s">
        <v>72</v>
      </c>
      <c r="C111" s="3">
        <v>8.0</v>
      </c>
      <c r="D111" s="3" t="s">
        <v>278</v>
      </c>
      <c r="E111" s="3">
        <v>1.0</v>
      </c>
      <c r="F111" s="4"/>
      <c r="G111" s="3" t="s">
        <v>78</v>
      </c>
      <c r="H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3" t="s">
        <v>184</v>
      </c>
      <c r="B112" s="3" t="s">
        <v>185</v>
      </c>
      <c r="C112" s="3">
        <v>6.0</v>
      </c>
      <c r="D112" s="3" t="s">
        <v>279</v>
      </c>
      <c r="E112" s="4"/>
      <c r="F112" s="4"/>
      <c r="G112" s="3" t="s">
        <v>115</v>
      </c>
      <c r="H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6" t="s">
        <v>280</v>
      </c>
      <c r="B113" s="16" t="s">
        <v>205</v>
      </c>
      <c r="C113" s="3">
        <v>15.0</v>
      </c>
      <c r="D113" s="3" t="s">
        <v>281</v>
      </c>
      <c r="E113" s="3">
        <v>4.0</v>
      </c>
      <c r="F113" s="4"/>
      <c r="G113" s="3" t="s">
        <v>78</v>
      </c>
      <c r="H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6" t="s">
        <v>282</v>
      </c>
      <c r="B114" s="16" t="s">
        <v>54</v>
      </c>
      <c r="C114" s="3">
        <v>16.0</v>
      </c>
      <c r="D114" s="3" t="s">
        <v>283</v>
      </c>
      <c r="E114" s="3">
        <v>4.0</v>
      </c>
      <c r="F114" s="4"/>
      <c r="G114" s="3" t="s">
        <v>78</v>
      </c>
      <c r="H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3" t="s">
        <v>168</v>
      </c>
      <c r="B115" s="3" t="s">
        <v>169</v>
      </c>
      <c r="C115" s="3">
        <v>6.0</v>
      </c>
      <c r="D115" s="3" t="s">
        <v>284</v>
      </c>
      <c r="E115" s="3">
        <v>2.0</v>
      </c>
      <c r="F115" s="3">
        <v>1.0</v>
      </c>
      <c r="G115" s="3" t="s">
        <v>78</v>
      </c>
      <c r="H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6" t="s">
        <v>285</v>
      </c>
      <c r="B116" s="16" t="s">
        <v>286</v>
      </c>
      <c r="C116" s="3">
        <v>12.0</v>
      </c>
      <c r="D116" s="3" t="s">
        <v>287</v>
      </c>
      <c r="E116" s="3">
        <v>1.0</v>
      </c>
      <c r="F116" s="3">
        <v>1.0</v>
      </c>
      <c r="G116" s="3" t="s">
        <v>78</v>
      </c>
      <c r="H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3" t="s">
        <v>188</v>
      </c>
      <c r="B117" s="3" t="s">
        <v>189</v>
      </c>
      <c r="C117" s="3">
        <v>5.0</v>
      </c>
      <c r="D117" s="3" t="s">
        <v>288</v>
      </c>
      <c r="E117" s="4"/>
      <c r="F117" s="4"/>
      <c r="G117" s="3" t="s">
        <v>115</v>
      </c>
      <c r="H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3" t="s">
        <v>152</v>
      </c>
      <c r="B118" s="3" t="s">
        <v>153</v>
      </c>
      <c r="C118" s="3">
        <v>7.0</v>
      </c>
      <c r="D118" s="3" t="s">
        <v>289</v>
      </c>
      <c r="E118" s="4"/>
      <c r="F118" s="4"/>
      <c r="G118" s="3" t="s">
        <v>115</v>
      </c>
      <c r="H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3" t="s">
        <v>188</v>
      </c>
      <c r="B119" s="3" t="s">
        <v>290</v>
      </c>
      <c r="C119" s="3">
        <v>1.0</v>
      </c>
      <c r="D119" s="3" t="s">
        <v>157</v>
      </c>
      <c r="E119" s="4"/>
      <c r="F119" s="4"/>
      <c r="G119" s="3" t="s">
        <v>115</v>
      </c>
      <c r="H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6" t="s">
        <v>256</v>
      </c>
      <c r="B120" s="16" t="s">
        <v>257</v>
      </c>
      <c r="C120" s="3">
        <v>15.0</v>
      </c>
      <c r="D120" s="3" t="s">
        <v>291</v>
      </c>
      <c r="E120" s="3">
        <v>2.0</v>
      </c>
      <c r="F120" s="4"/>
      <c r="G120" s="3" t="s">
        <v>78</v>
      </c>
      <c r="H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6" t="s">
        <v>199</v>
      </c>
      <c r="B121" s="16" t="s">
        <v>200</v>
      </c>
      <c r="C121" s="3">
        <v>14.0</v>
      </c>
      <c r="D121" s="3" t="s">
        <v>292</v>
      </c>
      <c r="E121" s="3">
        <v>1.0</v>
      </c>
      <c r="F121" s="4"/>
      <c r="G121" s="3" t="s">
        <v>78</v>
      </c>
      <c r="H121" s="3" t="s">
        <v>202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3" t="s">
        <v>209</v>
      </c>
      <c r="B122" s="3" t="s">
        <v>56</v>
      </c>
      <c r="C122" s="3">
        <v>1.0</v>
      </c>
      <c r="D122" s="3" t="s">
        <v>85</v>
      </c>
      <c r="E122" s="4"/>
      <c r="F122" s="4"/>
      <c r="G122" s="3" t="s">
        <v>115</v>
      </c>
      <c r="H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3" t="s">
        <v>293</v>
      </c>
      <c r="B123" s="3" t="s">
        <v>294</v>
      </c>
      <c r="C123" s="3">
        <v>2.0</v>
      </c>
      <c r="D123" s="3" t="s">
        <v>190</v>
      </c>
      <c r="E123" s="4"/>
      <c r="F123" s="4"/>
      <c r="G123" s="3" t="s">
        <v>115</v>
      </c>
      <c r="H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3" t="s">
        <v>206</v>
      </c>
      <c r="B124" s="3" t="s">
        <v>295</v>
      </c>
      <c r="C124" s="3">
        <v>1.0</v>
      </c>
      <c r="D124" s="3" t="s">
        <v>296</v>
      </c>
      <c r="E124" s="4"/>
      <c r="F124" s="4"/>
      <c r="G124" s="3" t="s">
        <v>115</v>
      </c>
      <c r="H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3" t="s">
        <v>155</v>
      </c>
      <c r="B125" s="3" t="s">
        <v>156</v>
      </c>
      <c r="C125" s="3">
        <v>2.0</v>
      </c>
      <c r="D125" s="3" t="s">
        <v>190</v>
      </c>
      <c r="E125" s="4"/>
      <c r="F125" s="4"/>
      <c r="G125" s="3" t="s">
        <v>78</v>
      </c>
      <c r="H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6" t="s">
        <v>297</v>
      </c>
      <c r="B126" s="16" t="s">
        <v>298</v>
      </c>
      <c r="C126" s="3">
        <v>8.0</v>
      </c>
      <c r="D126" s="3" t="s">
        <v>299</v>
      </c>
      <c r="E126" s="3">
        <v>1.0</v>
      </c>
      <c r="F126" s="4"/>
      <c r="G126" s="3" t="s">
        <v>78</v>
      </c>
      <c r="H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6" t="s">
        <v>149</v>
      </c>
      <c r="B127" s="16" t="s">
        <v>150</v>
      </c>
      <c r="C127" s="3">
        <v>3.0</v>
      </c>
      <c r="D127" s="3" t="s">
        <v>300</v>
      </c>
      <c r="E127" s="3">
        <v>1.0</v>
      </c>
      <c r="F127" s="4"/>
      <c r="G127" s="3" t="s">
        <v>78</v>
      </c>
      <c r="H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3" t="s">
        <v>301</v>
      </c>
      <c r="B128" s="3" t="s">
        <v>186</v>
      </c>
      <c r="C128" s="3">
        <v>3.0</v>
      </c>
      <c r="D128" s="3" t="s">
        <v>302</v>
      </c>
      <c r="E128" s="4"/>
      <c r="F128" s="4"/>
      <c r="G128" s="3" t="s">
        <v>115</v>
      </c>
      <c r="H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3" t="s">
        <v>303</v>
      </c>
      <c r="B129" s="3" t="s">
        <v>304</v>
      </c>
      <c r="C129" s="3">
        <v>1.0</v>
      </c>
      <c r="D129" s="3" t="s">
        <v>85</v>
      </c>
      <c r="E129" s="4"/>
      <c r="F129" s="4"/>
      <c r="G129" s="3" t="s">
        <v>115</v>
      </c>
      <c r="H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3" t="s">
        <v>197</v>
      </c>
      <c r="B130" s="3" t="s">
        <v>198</v>
      </c>
      <c r="C130" s="3">
        <v>3.0</v>
      </c>
      <c r="D130" s="3" t="s">
        <v>305</v>
      </c>
      <c r="E130" s="4"/>
      <c r="F130" s="4"/>
      <c r="G130" s="3" t="s">
        <v>78</v>
      </c>
      <c r="H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6" t="s">
        <v>306</v>
      </c>
      <c r="B131" s="16" t="s">
        <v>307</v>
      </c>
      <c r="C131" s="3">
        <v>2.0</v>
      </c>
      <c r="D131" s="3" t="s">
        <v>157</v>
      </c>
      <c r="E131" s="4"/>
      <c r="F131" s="4"/>
      <c r="G131" s="3" t="s">
        <v>115</v>
      </c>
      <c r="H131" s="3" t="s">
        <v>308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29">
    <mergeCell ref="H1:L1"/>
    <mergeCell ref="H2:L2"/>
    <mergeCell ref="H3:L3"/>
    <mergeCell ref="H4:L4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4:L24"/>
    <mergeCell ref="H25:L25"/>
    <mergeCell ref="H26:L26"/>
    <mergeCell ref="H27:L27"/>
    <mergeCell ref="H28:L28"/>
    <mergeCell ref="H29:L29"/>
    <mergeCell ref="H30:L30"/>
    <mergeCell ref="H31:L3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41:L41"/>
    <mergeCell ref="H42:L42"/>
    <mergeCell ref="H43:L43"/>
    <mergeCell ref="H44:L44"/>
    <mergeCell ref="H45:L45"/>
    <mergeCell ref="H46:L46"/>
    <mergeCell ref="H47:L47"/>
    <mergeCell ref="H48:L48"/>
    <mergeCell ref="H49:L49"/>
    <mergeCell ref="H50:L50"/>
    <mergeCell ref="H101:L101"/>
    <mergeCell ref="H102:L102"/>
    <mergeCell ref="H103:L103"/>
    <mergeCell ref="H104:L104"/>
    <mergeCell ref="H105:L105"/>
    <mergeCell ref="H106:L106"/>
    <mergeCell ref="H107:L107"/>
    <mergeCell ref="H108:L108"/>
    <mergeCell ref="H109:L109"/>
    <mergeCell ref="H110:L110"/>
    <mergeCell ref="H111:L111"/>
    <mergeCell ref="H112:L112"/>
    <mergeCell ref="H113:L113"/>
    <mergeCell ref="H114:L114"/>
    <mergeCell ref="H115:L115"/>
    <mergeCell ref="H116:L116"/>
    <mergeCell ref="H117:L117"/>
    <mergeCell ref="H118:L118"/>
    <mergeCell ref="H119:L119"/>
    <mergeCell ref="H120:L120"/>
    <mergeCell ref="H121:L121"/>
    <mergeCell ref="H129:L129"/>
    <mergeCell ref="H130:L130"/>
    <mergeCell ref="H131:L131"/>
    <mergeCell ref="H122:L122"/>
    <mergeCell ref="H123:L123"/>
    <mergeCell ref="H124:L124"/>
    <mergeCell ref="H125:L125"/>
    <mergeCell ref="H126:L126"/>
    <mergeCell ref="H127:L127"/>
    <mergeCell ref="H128:L128"/>
    <mergeCell ref="H51:L51"/>
    <mergeCell ref="H52:L52"/>
    <mergeCell ref="H53:L53"/>
    <mergeCell ref="H54:L54"/>
    <mergeCell ref="H55:L55"/>
    <mergeCell ref="H56:L56"/>
    <mergeCell ref="H57:L57"/>
    <mergeCell ref="H58:L58"/>
    <mergeCell ref="H59:L59"/>
    <mergeCell ref="H60:L60"/>
    <mergeCell ref="H61:L61"/>
    <mergeCell ref="H62:L62"/>
    <mergeCell ref="H63:L63"/>
    <mergeCell ref="H64:L64"/>
    <mergeCell ref="H65:L65"/>
    <mergeCell ref="H66:L66"/>
    <mergeCell ref="H67:L67"/>
    <mergeCell ref="H68:L68"/>
    <mergeCell ref="H69:L69"/>
    <mergeCell ref="H70:L70"/>
    <mergeCell ref="H71:L71"/>
    <mergeCell ref="H72:L72"/>
    <mergeCell ref="H73:L73"/>
    <mergeCell ref="H74:L74"/>
    <mergeCell ref="H75:L75"/>
    <mergeCell ref="H76:L76"/>
    <mergeCell ref="H77:L77"/>
    <mergeCell ref="H78:L78"/>
    <mergeCell ref="H79:L79"/>
    <mergeCell ref="H80:L80"/>
    <mergeCell ref="H81:L81"/>
    <mergeCell ref="H82:L82"/>
    <mergeCell ref="H83:L83"/>
    <mergeCell ref="H84:L84"/>
    <mergeCell ref="H85:L85"/>
    <mergeCell ref="H86:L86"/>
    <mergeCell ref="H87:L87"/>
    <mergeCell ref="H88:L88"/>
    <mergeCell ref="H89:L89"/>
    <mergeCell ref="H90:L90"/>
    <mergeCell ref="H91:L91"/>
    <mergeCell ref="H92:L92"/>
    <mergeCell ref="H93:L93"/>
    <mergeCell ref="H94:L94"/>
    <mergeCell ref="H95:L95"/>
    <mergeCell ref="H97:L97"/>
    <mergeCell ref="H98:L98"/>
    <mergeCell ref="H99:L99"/>
    <mergeCell ref="H100:L100"/>
  </mergeCells>
  <conditionalFormatting sqref="C1:C58">
    <cfRule type="colorScale" priority="1">
      <colorScale>
        <cfvo type="min"/>
        <cfvo type="max"/>
        <color rgb="FFFFFFFF"/>
        <color rgb="FF57BB8A"/>
      </colorScale>
    </cfRule>
  </conditionalFormatting>
  <conditionalFormatting sqref="C62:C95">
    <cfRule type="colorScale" priority="2">
      <colorScale>
        <cfvo type="min"/>
        <cfvo type="max"/>
        <color rgb="FFFFFFFF"/>
        <color rgb="FF57BB8A"/>
      </colorScale>
    </cfRule>
  </conditionalFormatting>
  <conditionalFormatting sqref="C99:C1001">
    <cfRule type="colorScale" priority="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G2:G58 G62:G95 G99:G131">
      <formula1>"Non connu,Pas mutation,Mutation,Hors délais"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309</v>
      </c>
      <c r="B1" s="14" t="s">
        <v>310</v>
      </c>
      <c r="C1" s="14" t="s">
        <v>311</v>
      </c>
      <c r="D1" s="14" t="s">
        <v>5</v>
      </c>
      <c r="E1" s="14" t="s">
        <v>6</v>
      </c>
      <c r="F1" s="14" t="s">
        <v>18</v>
      </c>
      <c r="G1" s="14" t="s">
        <v>19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" t="s">
        <v>312</v>
      </c>
      <c r="B2" s="3" t="s">
        <v>313</v>
      </c>
      <c r="C2" s="3" t="s">
        <v>314</v>
      </c>
      <c r="D2" s="3">
        <v>1.0</v>
      </c>
      <c r="E2" s="3">
        <v>1.0</v>
      </c>
      <c r="F2" s="3">
        <v>1.0</v>
      </c>
      <c r="G2" s="3">
        <v>0.0</v>
      </c>
      <c r="H2" s="4"/>
      <c r="I2" s="4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 t="s">
        <v>315</v>
      </c>
      <c r="B3" s="3" t="s">
        <v>316</v>
      </c>
      <c r="C3" s="3" t="s">
        <v>317</v>
      </c>
      <c r="D3" s="3">
        <v>1.0</v>
      </c>
      <c r="E3" s="3">
        <v>2.0</v>
      </c>
      <c r="F3" s="3">
        <v>2.0</v>
      </c>
      <c r="G3" s="3">
        <v>0.0</v>
      </c>
      <c r="H3" s="4"/>
      <c r="I3" s="4"/>
      <c r="J3" s="3"/>
      <c r="K3" s="3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 t="s">
        <v>318</v>
      </c>
      <c r="B4" s="3" t="s">
        <v>313</v>
      </c>
      <c r="C4" s="3" t="s">
        <v>319</v>
      </c>
      <c r="D4" s="3">
        <v>3.0</v>
      </c>
      <c r="E4" s="3">
        <v>1.0</v>
      </c>
      <c r="F4" s="3">
        <v>1.0</v>
      </c>
      <c r="G4" s="3">
        <v>0.0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 t="s">
        <v>320</v>
      </c>
      <c r="B5" s="3" t="s">
        <v>313</v>
      </c>
      <c r="C5" s="3" t="s">
        <v>321</v>
      </c>
      <c r="D5" s="3">
        <v>2.0</v>
      </c>
      <c r="E5" s="3">
        <v>1.0</v>
      </c>
      <c r="F5" s="3">
        <v>0.0</v>
      </c>
      <c r="G5" s="3">
        <v>0.0</v>
      </c>
      <c r="H5" s="4"/>
      <c r="I5" s="4"/>
      <c r="J5" s="3"/>
      <c r="K5" s="3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 t="s">
        <v>322</v>
      </c>
      <c r="B6" s="3" t="s">
        <v>316</v>
      </c>
      <c r="C6" s="3" t="s">
        <v>323</v>
      </c>
      <c r="D6" s="3">
        <v>2.0</v>
      </c>
      <c r="E6" s="3">
        <v>2.0</v>
      </c>
      <c r="F6" s="3">
        <v>2.0</v>
      </c>
      <c r="G6" s="3">
        <v>0.0</v>
      </c>
      <c r="H6" s="4"/>
      <c r="I6" s="4"/>
      <c r="J6" s="3"/>
      <c r="K6" s="3"/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 t="s">
        <v>324</v>
      </c>
      <c r="B7" s="3" t="s">
        <v>313</v>
      </c>
      <c r="C7" s="3" t="s">
        <v>325</v>
      </c>
      <c r="D7" s="3">
        <v>0.0</v>
      </c>
      <c r="E7" s="3">
        <v>1.0</v>
      </c>
      <c r="F7" s="3">
        <v>2.0</v>
      </c>
      <c r="G7" s="3">
        <v>0.0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" t="s">
        <v>326</v>
      </c>
      <c r="B8" s="3" t="s">
        <v>316</v>
      </c>
      <c r="C8" s="3" t="s">
        <v>327</v>
      </c>
      <c r="D8" s="3">
        <v>1.0</v>
      </c>
      <c r="E8" s="3">
        <v>0.0</v>
      </c>
      <c r="F8" s="3">
        <v>3.0</v>
      </c>
      <c r="G8" s="3">
        <v>0.0</v>
      </c>
      <c r="H8" s="4"/>
      <c r="I8" s="4"/>
      <c r="J8" s="3"/>
      <c r="K8" s="3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" t="s">
        <v>328</v>
      </c>
      <c r="B9" s="3" t="s">
        <v>316</v>
      </c>
      <c r="C9" s="3" t="s">
        <v>329</v>
      </c>
      <c r="D9" s="3">
        <v>2.0</v>
      </c>
      <c r="E9" s="3">
        <v>3.0</v>
      </c>
      <c r="F9" s="3">
        <v>2.0</v>
      </c>
      <c r="G9" s="3">
        <v>1.0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" t="s">
        <v>330</v>
      </c>
      <c r="B10" s="3" t="s">
        <v>313</v>
      </c>
      <c r="C10" s="3" t="s">
        <v>331</v>
      </c>
      <c r="D10" s="3">
        <v>1.0</v>
      </c>
      <c r="E10" s="3">
        <v>0.0</v>
      </c>
      <c r="F10" s="3">
        <v>2.0</v>
      </c>
      <c r="G10" s="3">
        <v>0.0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3" t="s">
        <v>332</v>
      </c>
      <c r="B11" s="3" t="s">
        <v>316</v>
      </c>
      <c r="C11" s="3" t="s">
        <v>333</v>
      </c>
      <c r="D11" s="3">
        <v>1.0</v>
      </c>
      <c r="E11" s="3">
        <v>1.0</v>
      </c>
      <c r="F11" s="3">
        <v>1.0</v>
      </c>
      <c r="G11" s="3">
        <v>0.0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3" t="s">
        <v>334</v>
      </c>
      <c r="B12" s="3" t="s">
        <v>313</v>
      </c>
      <c r="C12" s="3" t="s">
        <v>335</v>
      </c>
      <c r="D12" s="3">
        <v>2.0</v>
      </c>
      <c r="E12" s="3">
        <v>3.0</v>
      </c>
      <c r="F12" s="3">
        <v>3.0</v>
      </c>
      <c r="G12" s="3">
        <v>0.0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3" t="s">
        <v>336</v>
      </c>
      <c r="B13" s="3" t="s">
        <v>316</v>
      </c>
      <c r="C13" s="3" t="s">
        <v>337</v>
      </c>
      <c r="D13" s="3">
        <v>2.0</v>
      </c>
      <c r="E13" s="3">
        <v>0.0</v>
      </c>
      <c r="F13" s="3">
        <v>3.0</v>
      </c>
      <c r="G13" s="3">
        <v>0.0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3" t="s">
        <v>338</v>
      </c>
      <c r="B14" s="3" t="s">
        <v>313</v>
      </c>
      <c r="C14" s="3" t="s">
        <v>317</v>
      </c>
      <c r="D14" s="3">
        <v>0.0</v>
      </c>
      <c r="E14" s="3">
        <v>2.0</v>
      </c>
      <c r="F14" s="3">
        <v>2.0</v>
      </c>
      <c r="G14" s="3">
        <v>0.0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3" t="s">
        <v>339</v>
      </c>
      <c r="B15" s="3" t="s">
        <v>316</v>
      </c>
      <c r="C15" s="3" t="s">
        <v>319</v>
      </c>
      <c r="D15" s="3">
        <v>5.0</v>
      </c>
      <c r="E15" s="3">
        <v>1.0</v>
      </c>
      <c r="F15" s="3">
        <v>0.0</v>
      </c>
      <c r="G15" s="3">
        <v>0.0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3" t="s">
        <v>340</v>
      </c>
      <c r="B16" s="3" t="s">
        <v>316</v>
      </c>
      <c r="C16" s="3" t="s">
        <v>321</v>
      </c>
      <c r="D16" s="3">
        <v>0.0</v>
      </c>
      <c r="E16" s="3">
        <v>0.0</v>
      </c>
      <c r="F16" s="3">
        <v>1.0</v>
      </c>
      <c r="G16" s="3">
        <v>0.0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3" t="s">
        <v>341</v>
      </c>
      <c r="B17" s="3" t="s">
        <v>313</v>
      </c>
      <c r="C17" s="3" t="s">
        <v>323</v>
      </c>
      <c r="D17" s="3">
        <v>2.0</v>
      </c>
      <c r="E17" s="3">
        <v>2.0</v>
      </c>
      <c r="F17" s="3">
        <v>3.0</v>
      </c>
      <c r="G17" s="3">
        <v>1.0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3" t="s">
        <v>342</v>
      </c>
      <c r="B18" s="3" t="s">
        <v>316</v>
      </c>
      <c r="C18" s="3" t="s">
        <v>343</v>
      </c>
      <c r="D18" s="3">
        <v>2.0</v>
      </c>
      <c r="E18" s="3">
        <v>1.0</v>
      </c>
      <c r="F18" s="3">
        <v>1.0</v>
      </c>
      <c r="G18" s="3">
        <v>0.0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3" t="s">
        <v>344</v>
      </c>
      <c r="B19" s="3" t="s">
        <v>316</v>
      </c>
      <c r="C19" s="3" t="s">
        <v>325</v>
      </c>
      <c r="D19" s="3">
        <v>1.0</v>
      </c>
      <c r="E19" s="3">
        <v>9.0</v>
      </c>
      <c r="F19" s="3">
        <v>2.0</v>
      </c>
      <c r="G19" s="3">
        <v>0.0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3" t="s">
        <v>345</v>
      </c>
      <c r="B20" s="3" t="s">
        <v>313</v>
      </c>
      <c r="C20" s="3" t="s">
        <v>329</v>
      </c>
      <c r="D20" s="3">
        <v>0.0</v>
      </c>
      <c r="E20" s="3">
        <v>0.0</v>
      </c>
      <c r="F20" s="3">
        <v>2.0</v>
      </c>
      <c r="G20" s="3">
        <v>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3" t="s">
        <v>346</v>
      </c>
      <c r="B21" s="3" t="s">
        <v>316</v>
      </c>
      <c r="C21" s="3" t="s">
        <v>331</v>
      </c>
      <c r="D21" s="3">
        <v>1.0</v>
      </c>
      <c r="E21" s="3">
        <v>2.0</v>
      </c>
      <c r="F21" s="3">
        <v>2.0</v>
      </c>
      <c r="G21" s="3">
        <v>0.0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3" t="s">
        <v>347</v>
      </c>
      <c r="B22" s="3" t="s">
        <v>313</v>
      </c>
      <c r="C22" s="3" t="s">
        <v>333</v>
      </c>
      <c r="D22" s="3">
        <v>1.0</v>
      </c>
      <c r="E22" s="3">
        <v>2.0</v>
      </c>
      <c r="F22" s="3">
        <v>4.0</v>
      </c>
      <c r="G22" s="3">
        <v>1.0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3" t="s">
        <v>348</v>
      </c>
      <c r="B23" s="3" t="s">
        <v>316</v>
      </c>
      <c r="C23" s="3" t="s">
        <v>349</v>
      </c>
      <c r="D23" s="3">
        <v>0.0</v>
      </c>
      <c r="E23" s="3">
        <v>0.0</v>
      </c>
      <c r="F23" s="3">
        <v>2.0</v>
      </c>
      <c r="G23" s="3">
        <v>0.0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3" t="s">
        <v>350</v>
      </c>
      <c r="B24" s="3" t="s">
        <v>316</v>
      </c>
      <c r="C24" s="3" t="s">
        <v>351</v>
      </c>
      <c r="D24" s="3">
        <v>1.0</v>
      </c>
      <c r="E24" s="3">
        <v>4.0</v>
      </c>
      <c r="F24" s="3">
        <v>0.0</v>
      </c>
      <c r="G24" s="3">
        <v>0.0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3" t="s">
        <v>352</v>
      </c>
      <c r="B25" s="3" t="s">
        <v>316</v>
      </c>
      <c r="C25" s="3" t="s">
        <v>335</v>
      </c>
      <c r="D25" s="3">
        <v>3.0</v>
      </c>
      <c r="E25" s="3">
        <v>2.0</v>
      </c>
      <c r="F25" s="3">
        <v>2.0</v>
      </c>
      <c r="G25" s="3">
        <v>0.0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3" t="s">
        <v>353</v>
      </c>
      <c r="B26" s="3" t="s">
        <v>313</v>
      </c>
      <c r="C26" s="3" t="s">
        <v>337</v>
      </c>
      <c r="D26" s="3">
        <v>3.0</v>
      </c>
      <c r="E26" s="3">
        <v>0.0</v>
      </c>
      <c r="F26" s="3">
        <v>0.0</v>
      </c>
      <c r="G26" s="3">
        <v>0.0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conditionalFormatting sqref="H2:H1000">
    <cfRule type="expression" dxfId="1" priority="1">
      <formula>$D2&gt;$E2</formula>
    </cfRule>
  </conditionalFormatting>
  <conditionalFormatting sqref="H2:H1000">
    <cfRule type="expression" dxfId="2" priority="2">
      <formula>$D2&lt;$E2</formula>
    </cfRule>
  </conditionalFormatting>
  <conditionalFormatting sqref="H2:H1000">
    <cfRule type="expression" dxfId="3" priority="3">
      <formula>AND($D2=$E2, $D2&lt;&gt;"", $E2&lt;&gt;"")</formula>
    </cfRule>
  </conditionalFormatting>
  <drawing r:id="rId1"/>
</worksheet>
</file>